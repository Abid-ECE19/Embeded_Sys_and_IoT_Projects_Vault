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lar Systems Project\Assesment Documents\"/>
    </mc:Choice>
  </mc:AlternateContent>
  <xr:revisionPtr revIDLastSave="0" documentId="13_ncr:1_{55AFF841-AE2E-418C-A631-37F75CBCD0CD}" xr6:coauthVersionLast="47" xr6:coauthVersionMax="47" xr10:uidLastSave="{00000000-0000-0000-0000-000000000000}"/>
  <bookViews>
    <workbookView xWindow="-120" yWindow="-120" windowWidth="20730" windowHeight="11280" xr2:uid="{F1C811A4-4AC6-40DC-94A5-9F2B87D8A13F}"/>
  </bookViews>
  <sheets>
    <sheet name="Measur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" l="1"/>
  <c r="J6" i="1"/>
  <c r="J7" i="1"/>
  <c r="J4" i="1"/>
  <c r="C10" i="1"/>
  <c r="J8" i="1" l="1"/>
  <c r="J9" i="1" s="1"/>
</calcChain>
</file>

<file path=xl/sharedStrings.xml><?xml version="1.0" encoding="utf-8"?>
<sst xmlns="http://schemas.openxmlformats.org/spreadsheetml/2006/main" count="81" uniqueCount="75">
  <si>
    <t>Parameter</t>
  </si>
  <si>
    <t>Value</t>
  </si>
  <si>
    <t>Unit</t>
  </si>
  <si>
    <t>Remarks</t>
  </si>
  <si>
    <t>Location</t>
  </si>
  <si>
    <t>Building type</t>
  </si>
  <si>
    <t>Roof type</t>
  </si>
  <si>
    <t>Floors</t>
  </si>
  <si>
    <t>Roof length</t>
  </si>
  <si>
    <t>Roof width</t>
  </si>
  <si>
    <t>Roof area</t>
  </si>
  <si>
    <t>Electrical supply</t>
  </si>
  <si>
    <t>Supply volt.</t>
  </si>
  <si>
    <t>Roof Orientation</t>
  </si>
  <si>
    <t>Shading</t>
  </si>
  <si>
    <t>Rajshahi, BD</t>
  </si>
  <si>
    <t>Residential</t>
  </si>
  <si>
    <t>Flat RCC</t>
  </si>
  <si>
    <t>4 storied</t>
  </si>
  <si>
    <t>Single phase</t>
  </si>
  <si>
    <t>South open</t>
  </si>
  <si>
    <t>Low</t>
  </si>
  <si>
    <t>Project location</t>
  </si>
  <si>
    <t>Single unit</t>
  </si>
  <si>
    <t>Typical rooftop</t>
  </si>
  <si>
    <t>Approx. 20m hieght</t>
  </si>
  <si>
    <t>Not entirely free</t>
  </si>
  <si>
    <t>Typical 1-phase</t>
  </si>
  <si>
    <t>Approx. max voltage</t>
  </si>
  <si>
    <t>East side has shading of another building</t>
  </si>
  <si>
    <t>Appropiate</t>
  </si>
  <si>
    <t>Site Information</t>
  </si>
  <si>
    <t>meter</t>
  </si>
  <si>
    <t>V</t>
  </si>
  <si>
    <t>Obstacle</t>
  </si>
  <si>
    <t>Length (m)</t>
  </si>
  <si>
    <t>Width (m)</t>
  </si>
  <si>
    <t>Roof Obstacles &amp; Measurements</t>
  </si>
  <si>
    <t>Staircase room</t>
  </si>
  <si>
    <t>Garden</t>
  </si>
  <si>
    <t>Reserved space</t>
  </si>
  <si>
    <t>Total</t>
  </si>
  <si>
    <t>Space remained for solar install.</t>
  </si>
  <si>
    <t>Area (sq. m)</t>
  </si>
  <si>
    <t>The top of this room is for water tank and other usage</t>
  </si>
  <si>
    <t>Enough space for roof gardening</t>
  </si>
  <si>
    <t>For general purpose use</t>
  </si>
  <si>
    <t>For panel maintanance, 1m on each sides</t>
  </si>
  <si>
    <t>Occupied space</t>
  </si>
  <si>
    <t>Parameters</t>
  </si>
  <si>
    <t>Assumptions</t>
  </si>
  <si>
    <t>Design Assumptions</t>
  </si>
  <si>
    <t>System type</t>
  </si>
  <si>
    <t>Target PV capacity</t>
  </si>
  <si>
    <t>Battery</t>
  </si>
  <si>
    <t>PV module</t>
  </si>
  <si>
    <t>Inverter</t>
  </si>
  <si>
    <t>Mounting</t>
  </si>
  <si>
    <t>Orientation</t>
  </si>
  <si>
    <t>Net metering</t>
  </si>
  <si>
    <t>Structural design</t>
  </si>
  <si>
    <t>Utility Approval</t>
  </si>
  <si>
    <t>Physical Installation</t>
  </si>
  <si>
    <t>Excluded</t>
  </si>
  <si>
    <t>Considered</t>
  </si>
  <si>
    <t>South faced</t>
  </si>
  <si>
    <t>GI steel Structure</t>
  </si>
  <si>
    <t>5kW Hybrid</t>
  </si>
  <si>
    <t>Mono-Crystalline, 450 W panels, 12 total panels</t>
  </si>
  <si>
    <t>48 V 4.4 kWh Li battery</t>
  </si>
  <si>
    <t>5 kWp</t>
  </si>
  <si>
    <t>Hybrid (Grid &amp; battery connected)</t>
  </si>
  <si>
    <t>sq. m.</t>
  </si>
  <si>
    <t>DCDB room</t>
  </si>
  <si>
    <t>Will be utilized for module setup, Parapet and walkway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</si>
</sst>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2" fillId="0" borderId="0" xfId="0" applyFont="1"/>
    <xf numFmtId="0" fontId="4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2" fillId="0" borderId="0" xfId="0" applyFont="1" applyFill="1"/>
    <xf numFmtId="0" fontId="4" fillId="9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D44B-6263-48E3-B6A1-841B8167A22B}">
  <dimension ref="B2:N19"/>
  <sheetViews>
    <sheetView tabSelected="1" workbookViewId="0">
      <selection activeCell="K15" sqref="K15"/>
    </sheetView>
  </sheetViews>
  <sheetFormatPr defaultRowHeight="15" x14ac:dyDescent="0.25"/>
  <cols>
    <col min="2" max="2" width="16" bestFit="1" customWidth="1"/>
    <col min="3" max="3" width="12.140625" bestFit="1" customWidth="1"/>
    <col min="5" max="5" width="21.140625" customWidth="1"/>
    <col min="7" max="7" width="14.85546875" bestFit="1" customWidth="1"/>
    <col min="8" max="8" width="11.5703125" bestFit="1" customWidth="1"/>
    <col min="9" max="9" width="11" bestFit="1" customWidth="1"/>
    <col min="10" max="10" width="12.7109375" bestFit="1" customWidth="1"/>
    <col min="11" max="11" width="31.140625" customWidth="1"/>
    <col min="13" max="13" width="18.85546875" bestFit="1" customWidth="1"/>
    <col min="14" max="14" width="23.42578125" customWidth="1"/>
  </cols>
  <sheetData>
    <row r="2" spans="2:14" ht="18.75" x14ac:dyDescent="0.3">
      <c r="B2" s="19" t="s">
        <v>31</v>
      </c>
      <c r="C2" s="20"/>
      <c r="D2" s="20"/>
      <c r="E2" s="21"/>
      <c r="G2" s="22" t="s">
        <v>37</v>
      </c>
      <c r="H2" s="23"/>
      <c r="I2" s="23"/>
      <c r="J2" s="23"/>
      <c r="K2" s="24"/>
      <c r="M2" s="26" t="s">
        <v>51</v>
      </c>
      <c r="N2" s="26"/>
    </row>
    <row r="3" spans="2:14" s="13" customFormat="1" ht="15.75" x14ac:dyDescent="0.25">
      <c r="B3" s="14" t="s">
        <v>0</v>
      </c>
      <c r="C3" s="14" t="s">
        <v>1</v>
      </c>
      <c r="D3" s="14" t="s">
        <v>2</v>
      </c>
      <c r="E3" s="14" t="s">
        <v>3</v>
      </c>
      <c r="G3" s="15" t="s">
        <v>34</v>
      </c>
      <c r="H3" s="15" t="s">
        <v>35</v>
      </c>
      <c r="I3" s="15" t="s">
        <v>36</v>
      </c>
      <c r="J3" s="15" t="s">
        <v>43</v>
      </c>
      <c r="K3" s="16" t="s">
        <v>3</v>
      </c>
      <c r="L3" s="17"/>
      <c r="M3" s="18" t="s">
        <v>49</v>
      </c>
      <c r="N3" s="18" t="s">
        <v>50</v>
      </c>
    </row>
    <row r="4" spans="2:14" ht="29.25" customHeight="1" x14ac:dyDescent="0.25">
      <c r="B4" s="12" t="s">
        <v>4</v>
      </c>
      <c r="C4" s="3" t="s">
        <v>15</v>
      </c>
      <c r="D4" s="3"/>
      <c r="E4" s="7" t="s">
        <v>22</v>
      </c>
      <c r="G4" s="12" t="s">
        <v>38</v>
      </c>
      <c r="H4" s="3">
        <v>3.5</v>
      </c>
      <c r="I4" s="3">
        <v>2</v>
      </c>
      <c r="J4" s="3">
        <f>H4*I4</f>
        <v>7</v>
      </c>
      <c r="K4" s="6" t="s">
        <v>44</v>
      </c>
      <c r="M4" s="11" t="s">
        <v>52</v>
      </c>
      <c r="N4" s="10" t="s">
        <v>71</v>
      </c>
    </row>
    <row r="5" spans="2:14" x14ac:dyDescent="0.25">
      <c r="B5" s="12" t="s">
        <v>5</v>
      </c>
      <c r="C5" s="3" t="s">
        <v>16</v>
      </c>
      <c r="D5" s="3"/>
      <c r="E5" s="7" t="s">
        <v>23</v>
      </c>
      <c r="G5" s="12" t="s">
        <v>39</v>
      </c>
      <c r="H5" s="3">
        <v>4.5</v>
      </c>
      <c r="I5" s="3">
        <v>1</v>
      </c>
      <c r="J5" s="3">
        <f t="shared" ref="J5:J7" si="0">H5*I5</f>
        <v>4.5</v>
      </c>
      <c r="K5" s="7" t="s">
        <v>45</v>
      </c>
      <c r="M5" s="11" t="s">
        <v>53</v>
      </c>
      <c r="N5" s="9" t="s">
        <v>70</v>
      </c>
    </row>
    <row r="6" spans="2:14" x14ac:dyDescent="0.25">
      <c r="B6" s="12" t="s">
        <v>6</v>
      </c>
      <c r="C6" s="3" t="s">
        <v>17</v>
      </c>
      <c r="D6" s="3"/>
      <c r="E6" s="7" t="s">
        <v>24</v>
      </c>
      <c r="G6" s="12" t="s">
        <v>40</v>
      </c>
      <c r="H6" s="3">
        <v>5</v>
      </c>
      <c r="I6" s="3">
        <v>4</v>
      </c>
      <c r="J6" s="3">
        <f t="shared" si="0"/>
        <v>20</v>
      </c>
      <c r="K6" s="7" t="s">
        <v>46</v>
      </c>
      <c r="M6" s="11" t="s">
        <v>54</v>
      </c>
      <c r="N6" s="9" t="s">
        <v>69</v>
      </c>
    </row>
    <row r="7" spans="2:14" ht="30" x14ac:dyDescent="0.25">
      <c r="B7" s="12" t="s">
        <v>7</v>
      </c>
      <c r="C7" s="3" t="s">
        <v>18</v>
      </c>
      <c r="D7" s="3"/>
      <c r="E7" s="7" t="s">
        <v>25</v>
      </c>
      <c r="G7" s="12" t="s">
        <v>73</v>
      </c>
      <c r="H7" s="3">
        <v>1</v>
      </c>
      <c r="I7" s="3">
        <v>1</v>
      </c>
      <c r="J7" s="3">
        <f t="shared" si="0"/>
        <v>1</v>
      </c>
      <c r="K7" s="6" t="s">
        <v>47</v>
      </c>
      <c r="M7" s="11" t="s">
        <v>55</v>
      </c>
      <c r="N7" s="10" t="s">
        <v>68</v>
      </c>
    </row>
    <row r="8" spans="2:14" x14ac:dyDescent="0.25">
      <c r="B8" s="12" t="s">
        <v>8</v>
      </c>
      <c r="C8" s="3">
        <v>10</v>
      </c>
      <c r="D8" s="3" t="s">
        <v>32</v>
      </c>
      <c r="E8" s="7"/>
      <c r="G8" s="2"/>
      <c r="H8" s="2"/>
      <c r="I8" s="4" t="s">
        <v>41</v>
      </c>
      <c r="J8" s="4">
        <f>SUM(J4:J7)</f>
        <v>32.5</v>
      </c>
      <c r="K8" s="8" t="s">
        <v>48</v>
      </c>
      <c r="M8" s="11" t="s">
        <v>56</v>
      </c>
      <c r="N8" s="9" t="s">
        <v>67</v>
      </c>
    </row>
    <row r="9" spans="2:14" ht="45" x14ac:dyDescent="0.25">
      <c r="B9" s="12" t="s">
        <v>9</v>
      </c>
      <c r="C9" s="3">
        <v>8</v>
      </c>
      <c r="D9" s="3" t="s">
        <v>32</v>
      </c>
      <c r="E9" s="7"/>
      <c r="G9" s="25" t="s">
        <v>42</v>
      </c>
      <c r="H9" s="25"/>
      <c r="I9" s="25"/>
      <c r="J9" s="5">
        <f>C10-J8</f>
        <v>47.5</v>
      </c>
      <c r="K9" s="6" t="s">
        <v>74</v>
      </c>
      <c r="M9" s="11" t="s">
        <v>57</v>
      </c>
      <c r="N9" s="9" t="s">
        <v>66</v>
      </c>
    </row>
    <row r="10" spans="2:14" x14ac:dyDescent="0.25">
      <c r="B10" s="12" t="s">
        <v>10</v>
      </c>
      <c r="C10" s="3">
        <f>C8*C9</f>
        <v>80</v>
      </c>
      <c r="D10" s="3" t="s">
        <v>72</v>
      </c>
      <c r="E10" s="7" t="s">
        <v>26</v>
      </c>
      <c r="G10" s="2"/>
      <c r="H10" s="2"/>
      <c r="I10" s="2"/>
      <c r="J10" s="2"/>
      <c r="K10" s="2"/>
      <c r="M10" s="11" t="s">
        <v>58</v>
      </c>
      <c r="N10" s="9" t="s">
        <v>65</v>
      </c>
    </row>
    <row r="11" spans="2:14" x14ac:dyDescent="0.25">
      <c r="B11" s="12" t="s">
        <v>11</v>
      </c>
      <c r="C11" s="3" t="s">
        <v>19</v>
      </c>
      <c r="D11" s="3"/>
      <c r="E11" s="7" t="s">
        <v>27</v>
      </c>
      <c r="G11" s="2"/>
      <c r="H11" s="2"/>
      <c r="I11" s="2"/>
      <c r="J11" s="2"/>
      <c r="K11" s="2"/>
      <c r="M11" s="11" t="s">
        <v>14</v>
      </c>
      <c r="N11" s="9" t="s">
        <v>21</v>
      </c>
    </row>
    <row r="12" spans="2:14" x14ac:dyDescent="0.25">
      <c r="B12" s="12" t="s">
        <v>12</v>
      </c>
      <c r="C12" s="3">
        <v>230</v>
      </c>
      <c r="D12" s="3" t="s">
        <v>33</v>
      </c>
      <c r="E12" s="7" t="s">
        <v>28</v>
      </c>
      <c r="G12" s="2"/>
      <c r="H12" s="2"/>
      <c r="I12" s="2"/>
      <c r="J12" s="2"/>
      <c r="K12" s="2"/>
      <c r="M12" s="11" t="s">
        <v>59</v>
      </c>
      <c r="N12" s="9" t="s">
        <v>64</v>
      </c>
    </row>
    <row r="13" spans="2:14" ht="32.25" customHeight="1" x14ac:dyDescent="0.25">
      <c r="B13" s="12" t="s">
        <v>13</v>
      </c>
      <c r="C13" s="3" t="s">
        <v>20</v>
      </c>
      <c r="D13" s="3"/>
      <c r="E13" s="6" t="s">
        <v>29</v>
      </c>
      <c r="G13" s="2"/>
      <c r="H13" s="2"/>
      <c r="I13" s="2"/>
      <c r="J13" s="2"/>
      <c r="K13" s="2"/>
      <c r="M13" s="11" t="s">
        <v>60</v>
      </c>
      <c r="N13" s="9" t="s">
        <v>63</v>
      </c>
    </row>
    <row r="14" spans="2:14" x14ac:dyDescent="0.25">
      <c r="B14" s="12" t="s">
        <v>14</v>
      </c>
      <c r="C14" s="3" t="s">
        <v>21</v>
      </c>
      <c r="D14" s="3"/>
      <c r="E14" s="7" t="s">
        <v>30</v>
      </c>
      <c r="G14" s="2"/>
      <c r="H14" s="2"/>
      <c r="I14" s="2"/>
      <c r="J14" s="2"/>
      <c r="K14" s="2"/>
      <c r="M14" s="11" t="s">
        <v>61</v>
      </c>
      <c r="N14" s="9" t="s">
        <v>63</v>
      </c>
    </row>
    <row r="15" spans="2:14" x14ac:dyDescent="0.25">
      <c r="B15" s="1"/>
      <c r="C15" s="1"/>
      <c r="D15" s="1"/>
      <c r="E15" s="1"/>
      <c r="M15" s="11" t="s">
        <v>62</v>
      </c>
      <c r="N15" s="9" t="s">
        <v>63</v>
      </c>
    </row>
    <row r="16" spans="2:14" x14ac:dyDescent="0.25">
      <c r="B16" s="1"/>
      <c r="C16" s="1"/>
      <c r="D16" s="1"/>
      <c r="E16" s="1"/>
    </row>
    <row r="17" spans="2:11" ht="15.75" x14ac:dyDescent="0.25">
      <c r="B17" s="1"/>
      <c r="C17" s="1"/>
      <c r="D17" s="1"/>
      <c r="E17" s="1"/>
      <c r="K17" s="13"/>
    </row>
    <row r="18" spans="2:11" x14ac:dyDescent="0.25">
      <c r="B18" s="1"/>
      <c r="C18" s="1"/>
      <c r="D18" s="1"/>
      <c r="E18" s="1"/>
    </row>
    <row r="19" spans="2:11" x14ac:dyDescent="0.25">
      <c r="B19" s="1"/>
      <c r="C19" s="1"/>
      <c r="D19" s="1"/>
      <c r="E19" s="1"/>
    </row>
  </sheetData>
  <mergeCells count="4">
    <mergeCell ref="B2:E2"/>
    <mergeCell ref="G2:K2"/>
    <mergeCell ref="G9:I9"/>
    <mergeCell ref="M2: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2026-09-08T13:55:40Z</dcterms:created>
  <dcterms:modified xsi:type="dcterms:W3CDTF">2026-09-09T14:53:26Z</dcterms:modified>
</cp:coreProperties>
</file>