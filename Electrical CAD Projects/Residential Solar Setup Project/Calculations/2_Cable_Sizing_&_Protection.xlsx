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lar Systems Project\Calculations\"/>
    </mc:Choice>
  </mc:AlternateContent>
  <xr:revisionPtr revIDLastSave="0" documentId="13_ncr:1_{105EA1BE-CC43-4F6B-B4D9-E46E8D862063}" xr6:coauthVersionLast="47" xr6:coauthVersionMax="47" xr10:uidLastSave="{00000000-0000-0000-0000-000000000000}"/>
  <bookViews>
    <workbookView xWindow="-120" yWindow="-120" windowWidth="20730" windowHeight="11280" activeTab="1" xr2:uid="{03CEC1BA-B49B-4167-94FA-9DA047AA6863}"/>
  </bookViews>
  <sheets>
    <sheet name="Cables" sheetId="1" r:id="rId1"/>
    <sheet name="Prote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" i="1" l="1"/>
  <c r="J11" i="1"/>
  <c r="D10" i="1"/>
  <c r="D11" i="1" s="1"/>
  <c r="J7" i="1"/>
</calcChain>
</file>

<file path=xl/sharedStrings.xml><?xml version="1.0" encoding="utf-8"?>
<sst xmlns="http://schemas.openxmlformats.org/spreadsheetml/2006/main" count="85" uniqueCount="67">
  <si>
    <t>DC Cable Sizing</t>
  </si>
  <si>
    <t>AC Cable Sizing</t>
  </si>
  <si>
    <t>Each String Current</t>
  </si>
  <si>
    <t>Value</t>
  </si>
  <si>
    <t>Unit</t>
  </si>
  <si>
    <t>Remarks</t>
  </si>
  <si>
    <t>A</t>
  </si>
  <si>
    <t>sq. mm</t>
  </si>
  <si>
    <t>Already we got it from PV string calc. file</t>
  </si>
  <si>
    <t>Primary Cable selection</t>
  </si>
  <si>
    <t>Cu material wire. Such cross-section is selected cause it is also consistent with module's specified cross-section</t>
  </si>
  <si>
    <t>m</t>
  </si>
  <si>
    <t>Assumed Cable length (one way)</t>
  </si>
  <si>
    <t>Each module is 1.05 m wide, so 25 m cable is sufficient for 12 modules in one way. So 2 way total cable required is 50 m</t>
  </si>
  <si>
    <t>Copper Ressistivity</t>
  </si>
  <si>
    <t>V</t>
  </si>
  <si>
    <t>ohm.mm_sq / m</t>
  </si>
  <si>
    <t>Voltage drop in total cable</t>
  </si>
  <si>
    <t>Each String voltage</t>
  </si>
  <si>
    <t>Voltage drop (%)</t>
  </si>
  <si>
    <t>%</t>
  </si>
  <si>
    <t>Parameter</t>
  </si>
  <si>
    <t>Inverter Output</t>
  </si>
  <si>
    <t>kW</t>
  </si>
  <si>
    <t>Grid line voltage</t>
  </si>
  <si>
    <t>1-phase. Technically its around 220 V though</t>
  </si>
  <si>
    <t>Approx. AC current</t>
  </si>
  <si>
    <t>Using I = P/V formula, This is the approx. current level that inverter will supply to overall residential load to maintain 230V</t>
  </si>
  <si>
    <t xml:space="preserve">Primary Cable selection </t>
  </si>
  <si>
    <t>sq.mm</t>
  </si>
  <si>
    <t>Cu material wire. Such cross section is selected to get standard rated cables in market</t>
  </si>
  <si>
    <t>Cable rating</t>
  </si>
  <si>
    <t xml:space="preserve">Selected a higher rated cable than actual load (2-pole MCB). A safe practice </t>
  </si>
  <si>
    <t>Cable length (one way)</t>
  </si>
  <si>
    <t>One way length is 20m. So total cable length becomes 40m</t>
  </si>
  <si>
    <t>Calculated using [V = (2*I*L*ro) / A] formula, where I=13.7, L=25, ro=0.0175, A=4</t>
  </si>
  <si>
    <t>For priliminary design, 1.5% drop is reasonable</t>
  </si>
  <si>
    <t>Calculated using [V = (2*I*L*ro) / A] formula, where I=21.7, L=20, ro=0.0175, A=6</t>
  </si>
  <si>
    <t>For priliminary design, 1.1% drop is in acceptable range</t>
  </si>
  <si>
    <t>Protection</t>
  </si>
  <si>
    <t>Protection Measurements Chart</t>
  </si>
  <si>
    <t>Location</t>
  </si>
  <si>
    <t>PV String</t>
  </si>
  <si>
    <t>PV DC side</t>
  </si>
  <si>
    <t>Inverter AC side</t>
  </si>
  <si>
    <t>AC side</t>
  </si>
  <si>
    <t>Battery side</t>
  </si>
  <si>
    <t>Backup output</t>
  </si>
  <si>
    <t>Main Supply</t>
  </si>
  <si>
    <t>Earthing</t>
  </si>
  <si>
    <t>DC Isolator</t>
  </si>
  <si>
    <t>DC SPD</t>
  </si>
  <si>
    <t>AC Isolator</t>
  </si>
  <si>
    <t>MCB</t>
  </si>
  <si>
    <t>SPD</t>
  </si>
  <si>
    <t>Battery Protection</t>
  </si>
  <si>
    <t>6 sq.mm Cu wire</t>
  </si>
  <si>
    <t>Preliminary Selection</t>
  </si>
  <si>
    <t>DC-rated Isolator</t>
  </si>
  <si>
    <t>Type II DC SPD</t>
  </si>
  <si>
    <t>Type II AC SPD</t>
  </si>
  <si>
    <t>2-pole AC Isolator</t>
  </si>
  <si>
    <t>32 A, 2P preliminary</t>
  </si>
  <si>
    <t>DC fuse/isolator, rated per battery/inverter</t>
  </si>
  <si>
    <t>Dedicated backup DB with MCBs</t>
  </si>
  <si>
    <t>Existing/main DB protection arrangement</t>
  </si>
  <si>
    <t>Protective conductor. The rating and resistance depends on Electrical code &amp; site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</si>
</sst>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635B-5A9F-4DB0-BD36-C4B6288912DF}">
  <sheetPr>
    <tabColor theme="9"/>
  </sheetPr>
  <dimension ref="C2:L12"/>
  <sheetViews>
    <sheetView topLeftCell="A2" zoomScaleNormal="100" workbookViewId="0">
      <selection activeCell="G8" sqref="G8"/>
    </sheetView>
  </sheetViews>
  <sheetFormatPr defaultRowHeight="15" x14ac:dyDescent="0.25"/>
  <cols>
    <col min="3" max="3" width="22.140625" customWidth="1"/>
    <col min="4" max="4" width="9.5703125" bestFit="1" customWidth="1"/>
    <col min="5" max="5" width="13.42578125" customWidth="1"/>
    <col min="6" max="6" width="40.5703125" customWidth="1"/>
    <col min="9" max="9" width="23.7109375" bestFit="1" customWidth="1"/>
    <col min="10" max="10" width="12.5703125" bestFit="1" customWidth="1"/>
    <col min="11" max="11" width="16.28515625" bestFit="1" customWidth="1"/>
    <col min="12" max="12" width="41" customWidth="1"/>
  </cols>
  <sheetData>
    <row r="2" spans="3:12" ht="15.75" thickBot="1" x14ac:dyDescent="0.3"/>
    <row r="3" spans="3:12" ht="19.5" thickBot="1" x14ac:dyDescent="0.35">
      <c r="C3" s="24" t="s">
        <v>0</v>
      </c>
      <c r="D3" s="25"/>
      <c r="E3" s="25"/>
      <c r="F3" s="26"/>
      <c r="I3" s="24" t="s">
        <v>1</v>
      </c>
      <c r="J3" s="25"/>
      <c r="K3" s="25"/>
      <c r="L3" s="26"/>
    </row>
    <row r="4" spans="3:12" ht="16.5" customHeight="1" thickBot="1" x14ac:dyDescent="0.3">
      <c r="C4" s="9" t="s">
        <v>21</v>
      </c>
      <c r="D4" s="10" t="s">
        <v>3</v>
      </c>
      <c r="E4" s="10" t="s">
        <v>4</v>
      </c>
      <c r="F4" s="11" t="s">
        <v>5</v>
      </c>
      <c r="I4" s="21" t="s">
        <v>21</v>
      </c>
      <c r="J4" s="22" t="s">
        <v>3</v>
      </c>
      <c r="K4" s="22" t="s">
        <v>4</v>
      </c>
      <c r="L4" s="23" t="s">
        <v>5</v>
      </c>
    </row>
    <row r="5" spans="3:12" ht="20.25" customHeight="1" x14ac:dyDescent="0.25">
      <c r="C5" s="2" t="s">
        <v>2</v>
      </c>
      <c r="D5" s="12">
        <v>13.7</v>
      </c>
      <c r="E5" s="12" t="s">
        <v>6</v>
      </c>
      <c r="F5" s="3" t="s">
        <v>8</v>
      </c>
      <c r="I5" s="2" t="s">
        <v>22</v>
      </c>
      <c r="J5" s="12">
        <v>5</v>
      </c>
      <c r="K5" s="12" t="s">
        <v>23</v>
      </c>
      <c r="L5" s="3" t="s">
        <v>8</v>
      </c>
    </row>
    <row r="6" spans="3:12" ht="15.75" customHeight="1" x14ac:dyDescent="0.25">
      <c r="C6" s="2" t="s">
        <v>18</v>
      </c>
      <c r="D6" s="12">
        <v>196.9</v>
      </c>
      <c r="E6" s="12" t="s">
        <v>15</v>
      </c>
      <c r="F6" s="3" t="s">
        <v>8</v>
      </c>
      <c r="I6" s="2" t="s">
        <v>24</v>
      </c>
      <c r="J6" s="12">
        <v>230</v>
      </c>
      <c r="K6" s="12" t="s">
        <v>15</v>
      </c>
      <c r="L6" s="3" t="s">
        <v>25</v>
      </c>
    </row>
    <row r="7" spans="3:12" ht="46.5" customHeight="1" x14ac:dyDescent="0.25">
      <c r="C7" s="2" t="s">
        <v>9</v>
      </c>
      <c r="D7" s="12">
        <v>4</v>
      </c>
      <c r="E7" s="12" t="s">
        <v>7</v>
      </c>
      <c r="F7" s="3" t="s">
        <v>10</v>
      </c>
      <c r="I7" s="2" t="s">
        <v>26</v>
      </c>
      <c r="J7" s="16">
        <f>(J5*1000)/J6</f>
        <v>21.739130434782609</v>
      </c>
      <c r="K7" s="12" t="s">
        <v>6</v>
      </c>
      <c r="L7" s="3" t="s">
        <v>27</v>
      </c>
    </row>
    <row r="8" spans="3:12" ht="52.5" customHeight="1" x14ac:dyDescent="0.25">
      <c r="C8" s="4" t="s">
        <v>12</v>
      </c>
      <c r="D8" s="12">
        <v>25</v>
      </c>
      <c r="E8" s="12" t="s">
        <v>11</v>
      </c>
      <c r="F8" s="3" t="s">
        <v>13</v>
      </c>
      <c r="I8" s="4" t="s">
        <v>28</v>
      </c>
      <c r="J8" s="12">
        <v>6</v>
      </c>
      <c r="K8" s="12" t="s">
        <v>29</v>
      </c>
      <c r="L8" s="3" t="s">
        <v>30</v>
      </c>
    </row>
    <row r="9" spans="3:12" ht="30" x14ac:dyDescent="0.25">
      <c r="C9" s="2" t="s">
        <v>14</v>
      </c>
      <c r="D9" s="12">
        <v>1.7500000000000002E-2</v>
      </c>
      <c r="E9" s="5" t="s">
        <v>16</v>
      </c>
      <c r="F9" s="6"/>
      <c r="I9" s="2" t="s">
        <v>31</v>
      </c>
      <c r="J9" s="12">
        <v>32</v>
      </c>
      <c r="K9" s="5" t="s">
        <v>6</v>
      </c>
      <c r="L9" s="3" t="s">
        <v>32</v>
      </c>
    </row>
    <row r="10" spans="3:12" ht="37.5" customHeight="1" x14ac:dyDescent="0.25">
      <c r="C10" s="4" t="s">
        <v>17</v>
      </c>
      <c r="D10" s="13">
        <f>(2*D8*D5*D9)/D7</f>
        <v>2.9968750000000002</v>
      </c>
      <c r="E10" s="12" t="s">
        <v>15</v>
      </c>
      <c r="F10" s="3" t="s">
        <v>35</v>
      </c>
      <c r="I10" s="4" t="s">
        <v>33</v>
      </c>
      <c r="J10" s="17">
        <v>20</v>
      </c>
      <c r="K10" s="12" t="s">
        <v>11</v>
      </c>
      <c r="L10" s="3" t="s">
        <v>34</v>
      </c>
    </row>
    <row r="11" spans="3:12" ht="33" customHeight="1" thickBot="1" x14ac:dyDescent="0.3">
      <c r="C11" s="7" t="s">
        <v>19</v>
      </c>
      <c r="D11" s="14">
        <f>(D10*100)/D6</f>
        <v>1.5220289487049263</v>
      </c>
      <c r="E11" s="14" t="s">
        <v>20</v>
      </c>
      <c r="F11" s="8" t="s">
        <v>36</v>
      </c>
      <c r="I11" s="4" t="s">
        <v>17</v>
      </c>
      <c r="J11" s="15">
        <f>(2*J10*J7*D9)/J8</f>
        <v>2.5362318840579712</v>
      </c>
      <c r="K11" s="12" t="s">
        <v>15</v>
      </c>
      <c r="L11" s="3" t="s">
        <v>37</v>
      </c>
    </row>
    <row r="12" spans="3:12" ht="30.75" thickBot="1" x14ac:dyDescent="0.3">
      <c r="C12" s="1"/>
      <c r="D12" s="1"/>
      <c r="E12" s="1"/>
      <c r="F12" s="1"/>
      <c r="I12" s="19" t="s">
        <v>19</v>
      </c>
      <c r="J12" s="18">
        <f>(J11*100)/J6</f>
        <v>1.1027095148078137</v>
      </c>
      <c r="K12" s="20" t="s">
        <v>20</v>
      </c>
      <c r="L12" s="8" t="s">
        <v>38</v>
      </c>
    </row>
  </sheetData>
  <mergeCells count="2">
    <mergeCell ref="C3:F3"/>
    <mergeCell ref="I3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A058-4FF9-4B82-9FDA-64D5403420A3}">
  <sheetPr>
    <tabColor theme="5"/>
  </sheetPr>
  <dimension ref="C2:E13"/>
  <sheetViews>
    <sheetView tabSelected="1" workbookViewId="0">
      <selection activeCell="G6" sqref="G6"/>
    </sheetView>
  </sheetViews>
  <sheetFormatPr defaultRowHeight="15" x14ac:dyDescent="0.25"/>
  <cols>
    <col min="3" max="3" width="15.28515625" bestFit="1" customWidth="1"/>
    <col min="4" max="4" width="17.42578125" bestFit="1" customWidth="1"/>
    <col min="5" max="5" width="31" customWidth="1"/>
  </cols>
  <sheetData>
    <row r="2" spans="3:5" ht="15.75" thickBot="1" x14ac:dyDescent="0.3"/>
    <row r="3" spans="3:5" ht="19.5" thickBot="1" x14ac:dyDescent="0.3">
      <c r="C3" s="29" t="s">
        <v>40</v>
      </c>
      <c r="D3" s="30"/>
      <c r="E3" s="31"/>
    </row>
    <row r="4" spans="3:5" ht="16.5" thickBot="1" x14ac:dyDescent="0.3">
      <c r="C4" s="21" t="s">
        <v>41</v>
      </c>
      <c r="D4" s="22" t="s">
        <v>39</v>
      </c>
      <c r="E4" s="23" t="s">
        <v>57</v>
      </c>
    </row>
    <row r="5" spans="3:5" x14ac:dyDescent="0.25">
      <c r="C5" s="27" t="s">
        <v>42</v>
      </c>
      <c r="D5" s="12" t="s">
        <v>50</v>
      </c>
      <c r="E5" s="6" t="s">
        <v>58</v>
      </c>
    </row>
    <row r="6" spans="3:5" x14ac:dyDescent="0.25">
      <c r="C6" s="27" t="s">
        <v>43</v>
      </c>
      <c r="D6" s="12" t="s">
        <v>51</v>
      </c>
      <c r="E6" s="6" t="s">
        <v>59</v>
      </c>
    </row>
    <row r="7" spans="3:5" x14ac:dyDescent="0.25">
      <c r="C7" s="27" t="s">
        <v>44</v>
      </c>
      <c r="D7" s="12" t="s">
        <v>52</v>
      </c>
      <c r="E7" s="6" t="s">
        <v>61</v>
      </c>
    </row>
    <row r="8" spans="3:5" x14ac:dyDescent="0.25">
      <c r="C8" s="27" t="s">
        <v>44</v>
      </c>
      <c r="D8" s="12" t="s">
        <v>53</v>
      </c>
      <c r="E8" s="6" t="s">
        <v>62</v>
      </c>
    </row>
    <row r="9" spans="3:5" x14ac:dyDescent="0.25">
      <c r="C9" s="27" t="s">
        <v>45</v>
      </c>
      <c r="D9" s="12" t="s">
        <v>54</v>
      </c>
      <c r="E9" s="6" t="s">
        <v>60</v>
      </c>
    </row>
    <row r="10" spans="3:5" ht="34.5" customHeight="1" x14ac:dyDescent="0.25">
      <c r="C10" s="27" t="s">
        <v>46</v>
      </c>
      <c r="D10" s="12" t="s">
        <v>55</v>
      </c>
      <c r="E10" s="3" t="s">
        <v>63</v>
      </c>
    </row>
    <row r="11" spans="3:5" ht="18.75" customHeight="1" x14ac:dyDescent="0.25">
      <c r="C11" s="27" t="s">
        <v>47</v>
      </c>
      <c r="D11" s="12" t="s">
        <v>39</v>
      </c>
      <c r="E11" s="3" t="s">
        <v>64</v>
      </c>
    </row>
    <row r="12" spans="3:5" ht="30" x14ac:dyDescent="0.25">
      <c r="C12" s="27" t="s">
        <v>48</v>
      </c>
      <c r="D12" s="12" t="s">
        <v>53</v>
      </c>
      <c r="E12" s="3" t="s">
        <v>65</v>
      </c>
    </row>
    <row r="13" spans="3:5" ht="45" customHeight="1" thickBot="1" x14ac:dyDescent="0.3">
      <c r="C13" s="28" t="s">
        <v>49</v>
      </c>
      <c r="D13" s="14" t="s">
        <v>56</v>
      </c>
      <c r="E13" s="8" t="s">
        <v>66</v>
      </c>
    </row>
  </sheetData>
  <mergeCells count="1">
    <mergeCell ref="C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Cables</vt:lpstr>
      <vt:lpstr>Protection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2026-09-09T08:40:23Z</dcterms:created>
  <dcterms:modified xsi:type="dcterms:W3CDTF">2026-09-09T10:38:06Z</dcterms:modified>
</cp:coreProperties>
</file>