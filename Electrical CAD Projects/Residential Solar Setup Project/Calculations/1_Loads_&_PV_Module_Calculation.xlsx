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lar Systems Project\Calculations\"/>
    </mc:Choice>
  </mc:AlternateContent>
  <xr:revisionPtr revIDLastSave="0" documentId="13_ncr:1_{4F16BF84-C799-4255-9E0F-D781BBBA4E8B}" xr6:coauthVersionLast="47" xr6:coauthVersionMax="47" xr10:uidLastSave="{00000000-0000-0000-0000-000000000000}"/>
  <bookViews>
    <workbookView xWindow="-120" yWindow="-120" windowWidth="20730" windowHeight="11280" activeTab="2" xr2:uid="{834D5AD1-6308-4AA5-A5FC-B327B7255B61}"/>
  </bookViews>
  <sheets>
    <sheet name="Load Assessment" sheetId="1" r:id="rId1"/>
    <sheet name="PV Sizing" sheetId="2" r:id="rId2"/>
    <sheet name="Module &amp; String Design" sheetId="3" r:id="rId3"/>
    <sheet name="Inverter Data" sheetId="6" r:id="rId4"/>
    <sheet name="Battery Siz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6" l="1"/>
  <c r="L8" i="6"/>
  <c r="L9" i="6"/>
  <c r="L10" i="6"/>
  <c r="L11" i="6"/>
  <c r="L12" i="6"/>
  <c r="L6" i="6"/>
  <c r="K9" i="5"/>
  <c r="K6" i="5"/>
  <c r="K7" i="5"/>
  <c r="K8" i="5"/>
  <c r="K10" i="5" s="1"/>
  <c r="K5" i="5"/>
  <c r="C10" i="5"/>
  <c r="M7" i="3"/>
  <c r="M8" i="3" s="1"/>
  <c r="M5" i="3"/>
  <c r="M6" i="3" s="1"/>
  <c r="M4" i="3"/>
  <c r="K14" i="2"/>
  <c r="H11" i="3"/>
  <c r="H10" i="3"/>
  <c r="H13" i="3"/>
  <c r="H12" i="3"/>
  <c r="H8" i="3"/>
  <c r="H7" i="3"/>
  <c r="H6" i="3"/>
  <c r="H5" i="3"/>
  <c r="M10" i="2"/>
  <c r="K12" i="2" s="1"/>
  <c r="K4" i="2"/>
  <c r="K6" i="2" s="1"/>
  <c r="K8" i="2" s="1"/>
  <c r="G12" i="1"/>
  <c r="E12" i="1"/>
  <c r="M6" i="1"/>
  <c r="O6" i="1" s="1"/>
  <c r="E6" i="1"/>
  <c r="E7" i="1"/>
  <c r="M5" i="1" s="1"/>
  <c r="E8" i="1"/>
  <c r="E9" i="1"/>
  <c r="M9" i="1" s="1"/>
  <c r="O9" i="1" s="1"/>
  <c r="E10" i="1"/>
  <c r="M8" i="1" s="1"/>
  <c r="O8" i="1" s="1"/>
  <c r="E11" i="1"/>
  <c r="M7" i="1" s="1"/>
  <c r="O7" i="1" s="1"/>
  <c r="E13" i="1"/>
  <c r="M10" i="1" s="1"/>
  <c r="O10" i="1" s="1"/>
  <c r="E14" i="1"/>
  <c r="E5" i="1"/>
  <c r="E4" i="1"/>
  <c r="G5" i="1"/>
  <c r="G6" i="1"/>
  <c r="G7" i="1"/>
  <c r="G8" i="1"/>
  <c r="G9" i="1"/>
  <c r="G10" i="1"/>
  <c r="G11" i="1"/>
  <c r="G13" i="1"/>
  <c r="G14" i="1"/>
  <c r="G4" i="1"/>
  <c r="M9" i="3" l="1"/>
  <c r="O5" i="1"/>
  <c r="M4" i="1"/>
  <c r="O4" i="1" s="1"/>
  <c r="O11" i="1" s="1"/>
  <c r="G15" i="1"/>
</calcChain>
</file>

<file path=xl/sharedStrings.xml><?xml version="1.0" encoding="utf-8"?>
<sst xmlns="http://schemas.openxmlformats.org/spreadsheetml/2006/main" count="234" uniqueCount="146">
  <si>
    <t>Load</t>
  </si>
  <si>
    <t>Qty.</t>
  </si>
  <si>
    <t>hours/day</t>
  </si>
  <si>
    <t>Load Assessment Chart</t>
  </si>
  <si>
    <t>LED lights</t>
  </si>
  <si>
    <t>Fans</t>
  </si>
  <si>
    <t>Refrigerator</t>
  </si>
  <si>
    <t>TV</t>
  </si>
  <si>
    <t>Computer</t>
  </si>
  <si>
    <t>Washing Machine</t>
  </si>
  <si>
    <t>Water Pump</t>
  </si>
  <si>
    <t>AC</t>
  </si>
  <si>
    <t>Kitchen Utilities</t>
  </si>
  <si>
    <t>Misc.</t>
  </si>
  <si>
    <t>Rating (W)</t>
  </si>
  <si>
    <t>Energy (Wh)</t>
  </si>
  <si>
    <t>Total</t>
  </si>
  <si>
    <t>kWh</t>
  </si>
  <si>
    <t>Category</t>
  </si>
  <si>
    <t>Lights, Fans</t>
  </si>
  <si>
    <t>Equipments</t>
  </si>
  <si>
    <t>TV, PC, Chargers</t>
  </si>
  <si>
    <t>Demand Factor</t>
  </si>
  <si>
    <t>Essentials</t>
  </si>
  <si>
    <t>General</t>
  </si>
  <si>
    <t>Power</t>
  </si>
  <si>
    <t>Connected Load (kW)</t>
  </si>
  <si>
    <t>Load Diversity (according to BNBC guideline)</t>
  </si>
  <si>
    <t>Total Load (W)</t>
  </si>
  <si>
    <t>Total Diversified Load</t>
  </si>
  <si>
    <t>Demand Load (kW)</t>
  </si>
  <si>
    <t>kW</t>
  </si>
  <si>
    <t>Fridge</t>
  </si>
  <si>
    <t>Chargers, sockets</t>
  </si>
  <si>
    <t>According to 'SREDA Net metering Guidelines 2025', solar systems AC inetverter output can't be more than 100% of sanctioned/diversified load. Since overall demand load came out as 4.96 kW, so allowed inverter capacity is 5 kW. And solar system capacity oversizing allowed is 1.2 times of Inverter capacity. So choosing 5.4 kWp solar system is in the allowable region.</t>
  </si>
  <si>
    <t>Metrics</t>
  </si>
  <si>
    <t>Amount</t>
  </si>
  <si>
    <t>Unit</t>
  </si>
  <si>
    <t>PV Sizing Chart</t>
  </si>
  <si>
    <t>HSP</t>
  </si>
  <si>
    <t>PR</t>
  </si>
  <si>
    <t>Panel output</t>
  </si>
  <si>
    <t>No. of panels</t>
  </si>
  <si>
    <t>Calculation</t>
  </si>
  <si>
    <t>Total Power Output</t>
  </si>
  <si>
    <t>Actual Power Output</t>
  </si>
  <si>
    <t>Energy generated per day</t>
  </si>
  <si>
    <t>W</t>
  </si>
  <si>
    <t>1.00 (100%)</t>
  </si>
  <si>
    <t>h/day</t>
  </si>
  <si>
    <t>Excess Energy sent to Grid</t>
  </si>
  <si>
    <t>kW(p)</t>
  </si>
  <si>
    <t>HSP time Energy demand</t>
  </si>
  <si>
    <t xml:space="preserve">kW = </t>
  </si>
  <si>
    <t>Parameter</t>
  </si>
  <si>
    <t>Max. voltage</t>
  </si>
  <si>
    <t>OC voltage</t>
  </si>
  <si>
    <t>Max. current</t>
  </si>
  <si>
    <t>SC current</t>
  </si>
  <si>
    <t>Module rating</t>
  </si>
  <si>
    <t>Value</t>
  </si>
  <si>
    <t>PV Module data</t>
  </si>
  <si>
    <t>Panel length</t>
  </si>
  <si>
    <t>Panel width</t>
  </si>
  <si>
    <t>m</t>
  </si>
  <si>
    <t>No. of modules</t>
  </si>
  <si>
    <t>String max. volt.</t>
  </si>
  <si>
    <t>String OC volt.</t>
  </si>
  <si>
    <t>String max. current</t>
  </si>
  <si>
    <t>String SC current</t>
  </si>
  <si>
    <t>MPPT -1</t>
  </si>
  <si>
    <t>MPPT -2</t>
  </si>
  <si>
    <t>V</t>
  </si>
  <si>
    <t>A</t>
  </si>
  <si>
    <t>Energy Generation Per Month</t>
  </si>
  <si>
    <t>(Approx.)</t>
  </si>
  <si>
    <t>String Ratings</t>
  </si>
  <si>
    <t>Name</t>
  </si>
  <si>
    <t>Length (m)</t>
  </si>
  <si>
    <t>Width (m)</t>
  </si>
  <si>
    <t>Singular panel</t>
  </si>
  <si>
    <t>Staircase room</t>
  </si>
  <si>
    <t>Garden</t>
  </si>
  <si>
    <t>Open space</t>
  </si>
  <si>
    <t>Measurements</t>
  </si>
  <si>
    <t>Remarks</t>
  </si>
  <si>
    <t>Setup Dimensions</t>
  </si>
  <si>
    <t>Roof dimension</t>
  </si>
  <si>
    <t>Total Roof Area</t>
  </si>
  <si>
    <t>Area (sq. m)</t>
  </si>
  <si>
    <t>Area free for solar</t>
  </si>
  <si>
    <t>Area occupied</t>
  </si>
  <si>
    <t>Area per panel</t>
  </si>
  <si>
    <t>Area of total 12 panels</t>
  </si>
  <si>
    <t>Entire roof dimension</t>
  </si>
  <si>
    <t>Occupied by staircase, garden, reserved space</t>
  </si>
  <si>
    <t>Avalaible space for solar installation</t>
  </si>
  <si>
    <t>Area of each solar panel</t>
  </si>
  <si>
    <t>Total setup area required (min.)</t>
  </si>
  <si>
    <t>Battery Specification</t>
  </si>
  <si>
    <t>Battery type</t>
  </si>
  <si>
    <t>Nominal Voltage</t>
  </si>
  <si>
    <t>Capacity</t>
  </si>
  <si>
    <t>Nominal Energy</t>
  </si>
  <si>
    <t>Maxium DoD</t>
  </si>
  <si>
    <t>Max. usable energy</t>
  </si>
  <si>
    <t>LiFePO_4</t>
  </si>
  <si>
    <t>Ah</t>
  </si>
  <si>
    <t>%</t>
  </si>
  <si>
    <t>Item</t>
  </si>
  <si>
    <t>Total Power (W)</t>
  </si>
  <si>
    <t>Loads that will be powered via Battery</t>
  </si>
  <si>
    <t>Lights</t>
  </si>
  <si>
    <t>Charger</t>
  </si>
  <si>
    <t>TV/Computer</t>
  </si>
  <si>
    <t>So, during power outage, max. power needed is 1200W. Which means, the battery pack (3.84 kW) can deliver power to utilities for more than 3 hours!. This time can increase if loads used in power outage is kept low.</t>
  </si>
  <si>
    <t>Model Name</t>
  </si>
  <si>
    <t>Each string is capable to generate max. (6*450) = 2.7 kWp. So total 6S + 6S setup can give 5.4 kWp</t>
  </si>
  <si>
    <t>Inverter specification</t>
  </si>
  <si>
    <t>No. of MPPT</t>
  </si>
  <si>
    <t>MPPT operating range</t>
  </si>
  <si>
    <t>Max. current per MPPT</t>
  </si>
  <si>
    <t>Max. SC current per MPPT</t>
  </si>
  <si>
    <t>Nominal Output</t>
  </si>
  <si>
    <t>Nominal Battery</t>
  </si>
  <si>
    <t>Supported battery range</t>
  </si>
  <si>
    <t>Max. AC current output</t>
  </si>
  <si>
    <t>GoodWe GW500 ES C-10</t>
  </si>
  <si>
    <t>60 - 550</t>
  </si>
  <si>
    <t>40 - 60</t>
  </si>
  <si>
    <t>Max. PV input supported</t>
  </si>
  <si>
    <t>Result</t>
  </si>
  <si>
    <t>strings</t>
  </si>
  <si>
    <t>MPPT operating range (max)</t>
  </si>
  <si>
    <t>String Calculations</t>
  </si>
  <si>
    <t>Max. PV input power</t>
  </si>
  <si>
    <t>Max. supported Battery volt.</t>
  </si>
  <si>
    <t>Max. MPPT voltage</t>
  </si>
  <si>
    <t>Comparison Chart</t>
  </si>
  <si>
    <t>Inverter Ratings</t>
  </si>
  <si>
    <t>Note: OC voltage rating of each module is specified as a rating at 25 deg. C temp. and temperature coefficient is -0.250%/C [minus sign because above 25 deg. C, voltage starts to drop]. So say current temp. is 10 deg.C, then temp. difference = 15, performance increased by = 15*0.250% = 3.75%. So finally OC voltage at 10 deg. C = 39.3 * 1.0375 = 40.77 V</t>
  </si>
  <si>
    <t>JA Solar JAM54S40-450/LR</t>
  </si>
  <si>
    <t>DCDB room</t>
  </si>
  <si>
    <t>Parapet, Walkway</t>
  </si>
  <si>
    <t>As we are going to design a 6S + 6S string setup, but space for solar modules is almost square type, do instead of 6 x 2 grid, we will make 4 x 3 grid (electrically it will be a 6S+6S connection). I've selected (6*5) or 30 sq.m of space for PV panel mounting.</t>
  </si>
  <si>
    <t>Available space to move panels, do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</si>
</sst>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5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 applyAlignment="1"/>
    <xf numFmtId="0" fontId="4" fillId="0" borderId="2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8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2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2" fillId="11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1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21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4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1BEF-576F-46B6-A438-528F0C73888B}">
  <sheetPr>
    <tabColor theme="4"/>
  </sheetPr>
  <dimension ref="B2:P18"/>
  <sheetViews>
    <sheetView workbookViewId="0">
      <selection activeCell="I18" sqref="I18"/>
    </sheetView>
  </sheetViews>
  <sheetFormatPr defaultRowHeight="15" x14ac:dyDescent="0.25"/>
  <cols>
    <col min="2" max="2" width="16.7109375" bestFit="1" customWidth="1"/>
    <col min="4" max="4" width="11.42578125" bestFit="1" customWidth="1"/>
    <col min="5" max="5" width="11.42578125" customWidth="1"/>
    <col min="6" max="6" width="11.140625" bestFit="1" customWidth="1"/>
    <col min="7" max="7" width="13.28515625" bestFit="1" customWidth="1"/>
    <col min="11" max="11" width="20.42578125" customWidth="1"/>
    <col min="12" max="12" width="9.7109375" bestFit="1" customWidth="1"/>
    <col min="13" max="13" width="14.140625" customWidth="1"/>
    <col min="14" max="14" width="12.42578125" customWidth="1"/>
    <col min="15" max="15" width="11.7109375" customWidth="1"/>
  </cols>
  <sheetData>
    <row r="2" spans="2:16" ht="18.75" x14ac:dyDescent="0.25">
      <c r="B2" s="63" t="s">
        <v>3</v>
      </c>
      <c r="C2" s="63"/>
      <c r="D2" s="63"/>
      <c r="E2" s="63"/>
      <c r="F2" s="63"/>
      <c r="G2" s="63"/>
      <c r="K2" s="64" t="s">
        <v>27</v>
      </c>
      <c r="L2" s="64"/>
      <c r="M2" s="64"/>
      <c r="N2" s="64"/>
      <c r="O2" s="64"/>
    </row>
    <row r="3" spans="2:16" ht="35.25" customHeight="1" x14ac:dyDescent="0.25">
      <c r="B3" s="11" t="s">
        <v>0</v>
      </c>
      <c r="C3" s="11" t="s">
        <v>1</v>
      </c>
      <c r="D3" s="11" t="s">
        <v>14</v>
      </c>
      <c r="E3" s="13" t="s">
        <v>28</v>
      </c>
      <c r="F3" s="11" t="s">
        <v>2</v>
      </c>
      <c r="G3" s="11" t="s">
        <v>15</v>
      </c>
      <c r="K3" s="20" t="s">
        <v>20</v>
      </c>
      <c r="L3" s="20" t="s">
        <v>18</v>
      </c>
      <c r="M3" s="21" t="s">
        <v>26</v>
      </c>
      <c r="N3" s="21" t="s">
        <v>22</v>
      </c>
      <c r="O3" s="21" t="s">
        <v>30</v>
      </c>
      <c r="P3" s="10"/>
    </row>
    <row r="4" spans="2:16" x14ac:dyDescent="0.25">
      <c r="B4" s="9" t="s">
        <v>4</v>
      </c>
      <c r="C4" s="12">
        <v>12</v>
      </c>
      <c r="D4" s="12">
        <v>20</v>
      </c>
      <c r="E4" s="12">
        <f>C4*D4</f>
        <v>240</v>
      </c>
      <c r="F4" s="12">
        <v>6</v>
      </c>
      <c r="G4" s="12">
        <f t="shared" ref="G4:G14" si="0">C4*D4*F4</f>
        <v>1440</v>
      </c>
      <c r="K4" s="3" t="s">
        <v>19</v>
      </c>
      <c r="L4" s="3" t="s">
        <v>23</v>
      </c>
      <c r="M4" s="12">
        <f>(E4+E5)/1000</f>
        <v>0.72</v>
      </c>
      <c r="N4" s="15">
        <v>0.66</v>
      </c>
      <c r="O4" s="16">
        <f>M4*N4</f>
        <v>0.47520000000000001</v>
      </c>
    </row>
    <row r="5" spans="2:16" x14ac:dyDescent="0.25">
      <c r="B5" s="9" t="s">
        <v>5</v>
      </c>
      <c r="C5" s="12">
        <v>6</v>
      </c>
      <c r="D5" s="12">
        <v>80</v>
      </c>
      <c r="E5" s="12">
        <f t="shared" ref="E5:E14" si="1">C5*D5</f>
        <v>480</v>
      </c>
      <c r="F5" s="12">
        <v>8</v>
      </c>
      <c r="G5" s="12">
        <f t="shared" si="0"/>
        <v>3840</v>
      </c>
      <c r="K5" s="3" t="s">
        <v>21</v>
      </c>
      <c r="L5" s="3" t="s">
        <v>24</v>
      </c>
      <c r="M5" s="12">
        <f>(E7+E8+E12+E14)/1000</f>
        <v>1.34</v>
      </c>
      <c r="N5" s="15">
        <v>0.4</v>
      </c>
      <c r="O5" s="16">
        <f t="shared" ref="O5:O10" si="2">M5*N5</f>
        <v>0.53600000000000003</v>
      </c>
    </row>
    <row r="6" spans="2:16" x14ac:dyDescent="0.25">
      <c r="B6" s="9" t="s">
        <v>6</v>
      </c>
      <c r="C6" s="12">
        <v>1</v>
      </c>
      <c r="D6" s="12">
        <v>400</v>
      </c>
      <c r="E6" s="12">
        <f t="shared" si="1"/>
        <v>400</v>
      </c>
      <c r="F6" s="12">
        <v>10</v>
      </c>
      <c r="G6" s="12">
        <f t="shared" si="0"/>
        <v>4000</v>
      </c>
      <c r="K6" s="17" t="s">
        <v>32</v>
      </c>
      <c r="L6" s="9" t="s">
        <v>25</v>
      </c>
      <c r="M6" s="12">
        <f>E6/1000</f>
        <v>0.4</v>
      </c>
      <c r="N6" s="12">
        <v>1</v>
      </c>
      <c r="O6" s="16">
        <f t="shared" si="2"/>
        <v>0.4</v>
      </c>
    </row>
    <row r="7" spans="2:16" x14ac:dyDescent="0.25">
      <c r="B7" s="9" t="s">
        <v>7</v>
      </c>
      <c r="C7" s="12">
        <v>2</v>
      </c>
      <c r="D7" s="12">
        <v>120</v>
      </c>
      <c r="E7" s="12">
        <f t="shared" si="1"/>
        <v>240</v>
      </c>
      <c r="F7" s="12">
        <v>5</v>
      </c>
      <c r="G7" s="12">
        <f t="shared" si="0"/>
        <v>1200</v>
      </c>
      <c r="K7" s="3" t="s">
        <v>11</v>
      </c>
      <c r="L7" s="3" t="s">
        <v>25</v>
      </c>
      <c r="M7" s="12">
        <f>E11/1000</f>
        <v>2.4</v>
      </c>
      <c r="N7" s="15">
        <v>1</v>
      </c>
      <c r="O7" s="16">
        <f t="shared" si="2"/>
        <v>2.4</v>
      </c>
    </row>
    <row r="8" spans="2:16" x14ac:dyDescent="0.25">
      <c r="B8" s="9" t="s">
        <v>8</v>
      </c>
      <c r="C8" s="12">
        <v>2</v>
      </c>
      <c r="D8" s="12">
        <v>150</v>
      </c>
      <c r="E8" s="12">
        <f t="shared" si="1"/>
        <v>300</v>
      </c>
      <c r="F8" s="12">
        <v>4</v>
      </c>
      <c r="G8" s="12">
        <f t="shared" si="0"/>
        <v>1200</v>
      </c>
      <c r="K8" s="3" t="s">
        <v>10</v>
      </c>
      <c r="L8" s="3" t="s">
        <v>25</v>
      </c>
      <c r="M8" s="18">
        <f>E10/1000</f>
        <v>0.75</v>
      </c>
      <c r="N8" s="18">
        <v>0.5</v>
      </c>
      <c r="O8" s="19">
        <f t="shared" si="2"/>
        <v>0.375</v>
      </c>
      <c r="P8" s="2"/>
    </row>
    <row r="9" spans="2:16" x14ac:dyDescent="0.25">
      <c r="B9" s="9" t="s">
        <v>9</v>
      </c>
      <c r="C9" s="12">
        <v>1</v>
      </c>
      <c r="D9" s="12">
        <v>750</v>
      </c>
      <c r="E9" s="12">
        <f t="shared" si="1"/>
        <v>750</v>
      </c>
      <c r="F9" s="12">
        <v>1</v>
      </c>
      <c r="G9" s="12">
        <f t="shared" si="0"/>
        <v>750</v>
      </c>
      <c r="K9" s="3" t="s">
        <v>9</v>
      </c>
      <c r="L9" s="3" t="s">
        <v>25</v>
      </c>
      <c r="M9" s="15">
        <f>E9/1000</f>
        <v>0.75</v>
      </c>
      <c r="N9" s="15">
        <v>0.5</v>
      </c>
      <c r="O9" s="19">
        <f t="shared" si="2"/>
        <v>0.375</v>
      </c>
    </row>
    <row r="10" spans="2:16" x14ac:dyDescent="0.25">
      <c r="B10" s="9" t="s">
        <v>10</v>
      </c>
      <c r="C10" s="12">
        <v>1</v>
      </c>
      <c r="D10" s="12">
        <v>750</v>
      </c>
      <c r="E10" s="12">
        <f t="shared" si="1"/>
        <v>750</v>
      </c>
      <c r="F10" s="12">
        <v>1</v>
      </c>
      <c r="G10" s="12">
        <f t="shared" si="0"/>
        <v>750</v>
      </c>
      <c r="K10" s="3" t="s">
        <v>12</v>
      </c>
      <c r="L10" s="3" t="s">
        <v>24</v>
      </c>
      <c r="M10" s="15">
        <f>E13/1000</f>
        <v>1</v>
      </c>
      <c r="N10" s="18">
        <v>0.4</v>
      </c>
      <c r="O10" s="19">
        <f t="shared" si="2"/>
        <v>0.4</v>
      </c>
    </row>
    <row r="11" spans="2:16" ht="15.75" x14ac:dyDescent="0.25">
      <c r="B11" s="9" t="s">
        <v>11</v>
      </c>
      <c r="C11" s="12">
        <v>2</v>
      </c>
      <c r="D11" s="12">
        <v>1200</v>
      </c>
      <c r="E11" s="12">
        <f t="shared" si="1"/>
        <v>2400</v>
      </c>
      <c r="F11" s="12">
        <v>4</v>
      </c>
      <c r="G11" s="12">
        <f t="shared" si="0"/>
        <v>9600</v>
      </c>
      <c r="M11" s="65" t="s">
        <v>29</v>
      </c>
      <c r="N11" s="65"/>
      <c r="O11" s="22">
        <f>SUM(O4:O10)</f>
        <v>4.9611999999999998</v>
      </c>
      <c r="P11" s="4" t="s">
        <v>31</v>
      </c>
    </row>
    <row r="12" spans="2:16" x14ac:dyDescent="0.25">
      <c r="B12" s="9" t="s">
        <v>33</v>
      </c>
      <c r="C12" s="12">
        <v>6</v>
      </c>
      <c r="D12" s="12">
        <v>100</v>
      </c>
      <c r="E12" s="12">
        <f t="shared" si="1"/>
        <v>600</v>
      </c>
      <c r="F12" s="12">
        <v>4</v>
      </c>
      <c r="G12" s="12">
        <f t="shared" si="0"/>
        <v>2400</v>
      </c>
      <c r="O12" s="14"/>
    </row>
    <row r="13" spans="2:16" x14ac:dyDescent="0.25">
      <c r="B13" s="9" t="s">
        <v>12</v>
      </c>
      <c r="C13" s="12">
        <v>1</v>
      </c>
      <c r="D13" s="12">
        <v>1000</v>
      </c>
      <c r="E13" s="12">
        <f t="shared" si="1"/>
        <v>1000</v>
      </c>
      <c r="F13" s="12">
        <v>3</v>
      </c>
      <c r="G13" s="12">
        <f t="shared" si="0"/>
        <v>3000</v>
      </c>
    </row>
    <row r="14" spans="2:16" ht="15" customHeight="1" x14ac:dyDescent="0.25">
      <c r="B14" s="9" t="s">
        <v>13</v>
      </c>
      <c r="C14" s="12">
        <v>1</v>
      </c>
      <c r="D14" s="12">
        <v>200</v>
      </c>
      <c r="E14" s="12">
        <f t="shared" si="1"/>
        <v>200</v>
      </c>
      <c r="F14" s="12">
        <v>1</v>
      </c>
      <c r="G14" s="12">
        <f t="shared" si="0"/>
        <v>200</v>
      </c>
      <c r="K14" s="66" t="s">
        <v>34</v>
      </c>
      <c r="L14" s="66"/>
      <c r="M14" s="66"/>
      <c r="N14" s="66"/>
      <c r="O14" s="66"/>
    </row>
    <row r="15" spans="2:16" ht="15.75" x14ac:dyDescent="0.25">
      <c r="F15" s="7" t="s">
        <v>16</v>
      </c>
      <c r="G15" s="8">
        <f>SUM(G4:G14)/1000</f>
        <v>28.38</v>
      </c>
      <c r="H15" s="5" t="s">
        <v>17</v>
      </c>
      <c r="K15" s="66"/>
      <c r="L15" s="66"/>
      <c r="M15" s="66"/>
      <c r="N15" s="66"/>
      <c r="O15" s="66"/>
    </row>
    <row r="16" spans="2:16" x14ac:dyDescent="0.25">
      <c r="K16" s="66"/>
      <c r="L16" s="66"/>
      <c r="M16" s="66"/>
      <c r="N16" s="66"/>
      <c r="O16" s="66"/>
    </row>
    <row r="17" spans="11:15" x14ac:dyDescent="0.25">
      <c r="K17" s="66"/>
      <c r="L17" s="66"/>
      <c r="M17" s="66"/>
      <c r="N17" s="66"/>
      <c r="O17" s="66"/>
    </row>
    <row r="18" spans="11:15" x14ac:dyDescent="0.25">
      <c r="K18" s="66"/>
      <c r="L18" s="66"/>
      <c r="M18" s="66"/>
      <c r="N18" s="66"/>
      <c r="O18" s="66"/>
    </row>
  </sheetData>
  <mergeCells count="4">
    <mergeCell ref="B2:G2"/>
    <mergeCell ref="K2:O2"/>
    <mergeCell ref="M11:N11"/>
    <mergeCell ref="K14:O18"/>
  </mergeCells>
  <pageMargins left="0.7" right="0.7" top="0.75" bottom="0.75" header="0.3" footer="0.3"/>
  <pageSetup orientation="portrait" r:id="rId1"/>
  <ignoredErrors>
    <ignoredError sqref="M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7CD2-B8EA-4C0B-B8D8-EE3861BBE462}">
  <sheetPr>
    <tabColor theme="5"/>
  </sheetPr>
  <dimension ref="B2:Q14"/>
  <sheetViews>
    <sheetView workbookViewId="0">
      <selection activeCell="K10" sqref="K10"/>
    </sheetView>
  </sheetViews>
  <sheetFormatPr defaultRowHeight="15" x14ac:dyDescent="0.25"/>
  <cols>
    <col min="2" max="2" width="12.42578125" bestFit="1" customWidth="1"/>
    <col min="4" max="4" width="11" bestFit="1" customWidth="1"/>
    <col min="7" max="7" width="7.140625" customWidth="1"/>
    <col min="8" max="8" width="11.140625" customWidth="1"/>
    <col min="10" max="10" width="10.28515625" customWidth="1"/>
    <col min="12" max="12" width="6.42578125" bestFit="1" customWidth="1"/>
    <col min="14" max="14" width="5.7109375" customWidth="1"/>
    <col min="15" max="15" width="10.28515625" customWidth="1"/>
    <col min="16" max="16" width="11" customWidth="1"/>
    <col min="17" max="17" width="0" hidden="1" customWidth="1"/>
  </cols>
  <sheetData>
    <row r="2" spans="2:17" ht="18.75" x14ac:dyDescent="0.3">
      <c r="B2" s="67" t="s">
        <v>38</v>
      </c>
      <c r="C2" s="67"/>
      <c r="D2" s="67"/>
      <c r="G2" s="27"/>
      <c r="H2" s="73" t="s">
        <v>43</v>
      </c>
      <c r="I2" s="73"/>
      <c r="J2" s="73"/>
      <c r="K2" s="73"/>
      <c r="L2" s="73"/>
      <c r="M2" s="73"/>
      <c r="N2" s="73"/>
    </row>
    <row r="3" spans="2:17" ht="15.75" x14ac:dyDescent="0.25">
      <c r="B3" s="23" t="s">
        <v>35</v>
      </c>
      <c r="C3" s="23" t="s">
        <v>36</v>
      </c>
      <c r="D3" s="23" t="s">
        <v>37</v>
      </c>
      <c r="G3" s="29"/>
      <c r="H3" s="72" t="s">
        <v>54</v>
      </c>
      <c r="I3" s="72"/>
      <c r="J3" s="72"/>
      <c r="K3" s="41" t="s">
        <v>36</v>
      </c>
      <c r="L3" s="41" t="s">
        <v>37</v>
      </c>
      <c r="M3" s="42" t="s">
        <v>36</v>
      </c>
      <c r="N3" s="42" t="s">
        <v>37</v>
      </c>
    </row>
    <row r="4" spans="2:17" ht="15" customHeight="1" x14ac:dyDescent="0.25">
      <c r="B4" s="3" t="s">
        <v>39</v>
      </c>
      <c r="C4" s="15">
        <v>4.8</v>
      </c>
      <c r="D4" s="15" t="s">
        <v>49</v>
      </c>
      <c r="G4" s="29"/>
      <c r="H4" s="74" t="s">
        <v>44</v>
      </c>
      <c r="I4" s="75"/>
      <c r="J4" s="75"/>
      <c r="K4" s="44">
        <f>(C7*C6)/1000</f>
        <v>5.4</v>
      </c>
      <c r="L4" s="26" t="s">
        <v>51</v>
      </c>
      <c r="M4" s="30"/>
      <c r="N4" s="32"/>
      <c r="O4" s="1"/>
      <c r="P4" s="1"/>
      <c r="Q4">
        <v>2.1</v>
      </c>
    </row>
    <row r="5" spans="2:17" ht="15" customHeight="1" x14ac:dyDescent="0.25">
      <c r="B5" s="3" t="s">
        <v>40</v>
      </c>
      <c r="C5" s="15">
        <v>0.8</v>
      </c>
      <c r="D5" s="15" t="s">
        <v>48</v>
      </c>
      <c r="G5" s="29"/>
      <c r="H5" s="33"/>
      <c r="I5" s="25"/>
      <c r="J5" s="28"/>
      <c r="K5" s="45"/>
      <c r="L5" s="26"/>
      <c r="M5" s="30"/>
      <c r="N5" s="34"/>
      <c r="Q5">
        <v>2.2999999999999998</v>
      </c>
    </row>
    <row r="6" spans="2:17" ht="15" customHeight="1" x14ac:dyDescent="0.25">
      <c r="B6" s="3" t="s">
        <v>42</v>
      </c>
      <c r="C6" s="15">
        <v>12</v>
      </c>
      <c r="D6" s="15"/>
      <c r="G6" s="29"/>
      <c r="H6" s="74" t="s">
        <v>45</v>
      </c>
      <c r="I6" s="75"/>
      <c r="J6" s="75"/>
      <c r="K6" s="46">
        <f>K4*C5</f>
        <v>4.32</v>
      </c>
      <c r="L6" s="26" t="s">
        <v>31</v>
      </c>
      <c r="M6" s="30"/>
      <c r="N6" s="32"/>
      <c r="O6" s="1"/>
      <c r="P6" s="1"/>
      <c r="Q6">
        <v>2.5</v>
      </c>
    </row>
    <row r="7" spans="2:17" ht="15" customHeight="1" x14ac:dyDescent="0.25">
      <c r="B7" s="3" t="s">
        <v>41</v>
      </c>
      <c r="C7" s="15">
        <v>450</v>
      </c>
      <c r="D7" s="15" t="s">
        <v>47</v>
      </c>
      <c r="G7" s="29"/>
      <c r="H7" s="33"/>
      <c r="I7" s="25"/>
      <c r="J7" s="28"/>
      <c r="K7" s="45"/>
      <c r="L7" s="26"/>
      <c r="M7" s="30"/>
      <c r="N7" s="34"/>
      <c r="Q7">
        <v>2.7</v>
      </c>
    </row>
    <row r="8" spans="2:17" ht="15" customHeight="1" x14ac:dyDescent="0.25">
      <c r="B8" s="24" t="s">
        <v>62</v>
      </c>
      <c r="C8" s="39">
        <v>2.1</v>
      </c>
      <c r="D8" s="39" t="s">
        <v>64</v>
      </c>
      <c r="G8" s="29"/>
      <c r="H8" s="74" t="s">
        <v>46</v>
      </c>
      <c r="I8" s="75"/>
      <c r="J8" s="75"/>
      <c r="K8" s="47">
        <f>K6*C4</f>
        <v>20.736000000000001</v>
      </c>
      <c r="L8" s="26" t="s">
        <v>17</v>
      </c>
      <c r="M8" s="30"/>
      <c r="N8" s="34"/>
      <c r="Q8">
        <v>2.9</v>
      </c>
    </row>
    <row r="9" spans="2:17" ht="15" customHeight="1" x14ac:dyDescent="0.25">
      <c r="B9" s="24" t="s">
        <v>63</v>
      </c>
      <c r="C9" s="39">
        <v>1.05</v>
      </c>
      <c r="D9" s="39" t="s">
        <v>64</v>
      </c>
      <c r="G9" s="29"/>
      <c r="H9" s="33"/>
      <c r="I9" s="25"/>
      <c r="J9" s="28"/>
      <c r="K9" s="45"/>
      <c r="L9" s="26"/>
      <c r="M9" s="30"/>
      <c r="N9" s="34"/>
      <c r="Q9">
        <v>3</v>
      </c>
    </row>
    <row r="10" spans="2:17" ht="15.75" x14ac:dyDescent="0.25">
      <c r="H10" s="70" t="s">
        <v>52</v>
      </c>
      <c r="I10" s="71"/>
      <c r="J10" s="71"/>
      <c r="K10" s="48">
        <v>3.2</v>
      </c>
      <c r="L10" s="30" t="s">
        <v>53</v>
      </c>
      <c r="M10" s="38">
        <f>C4*K10</f>
        <v>15.36</v>
      </c>
      <c r="N10" s="34" t="s">
        <v>17</v>
      </c>
      <c r="Q10">
        <v>3.2</v>
      </c>
    </row>
    <row r="11" spans="2:17" ht="15.75" x14ac:dyDescent="0.25">
      <c r="H11" s="35"/>
      <c r="I11" s="31"/>
      <c r="J11" s="31"/>
      <c r="K11" s="49"/>
      <c r="L11" s="30"/>
      <c r="M11" s="30"/>
      <c r="N11" s="34"/>
      <c r="Q11">
        <v>3.4</v>
      </c>
    </row>
    <row r="12" spans="2:17" ht="15.75" x14ac:dyDescent="0.25">
      <c r="H12" s="70" t="s">
        <v>50</v>
      </c>
      <c r="I12" s="71"/>
      <c r="J12" s="71"/>
      <c r="K12" s="50">
        <f>K8-M10</f>
        <v>5.3760000000000012</v>
      </c>
      <c r="L12" s="30" t="s">
        <v>17</v>
      </c>
      <c r="M12" s="30"/>
      <c r="N12" s="34"/>
      <c r="Q12">
        <v>3.6</v>
      </c>
    </row>
    <row r="13" spans="2:17" x14ac:dyDescent="0.25">
      <c r="H13" s="40"/>
      <c r="I13" s="30"/>
      <c r="J13" s="30"/>
      <c r="K13" s="43"/>
      <c r="L13" s="30"/>
      <c r="M13" s="30"/>
      <c r="N13" s="34"/>
      <c r="Q13">
        <v>3.8</v>
      </c>
    </row>
    <row r="14" spans="2:17" ht="15.75" x14ac:dyDescent="0.25">
      <c r="H14" s="68" t="s">
        <v>74</v>
      </c>
      <c r="I14" s="69"/>
      <c r="J14" s="69"/>
      <c r="K14" s="51">
        <f>K8*30</f>
        <v>622.08000000000004</v>
      </c>
      <c r="L14" s="36" t="s">
        <v>17</v>
      </c>
      <c r="M14" s="36" t="s">
        <v>75</v>
      </c>
      <c r="N14" s="37"/>
      <c r="Q14">
        <v>4</v>
      </c>
    </row>
  </sheetData>
  <mergeCells count="9">
    <mergeCell ref="B2:D2"/>
    <mergeCell ref="H14:J14"/>
    <mergeCell ref="H10:J10"/>
    <mergeCell ref="H12:J12"/>
    <mergeCell ref="H3:J3"/>
    <mergeCell ref="H2:N2"/>
    <mergeCell ref="H4:J4"/>
    <mergeCell ref="H6:J6"/>
    <mergeCell ref="H8:J8"/>
  </mergeCells>
  <dataValidations count="1">
    <dataValidation type="list" allowBlank="1" showInputMessage="1" showErrorMessage="1" sqref="K10" xr:uid="{42BB3DDD-5EA8-4E63-A116-2B1FD30F74F1}">
      <formula1>$Q$4:$Q$14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9634-E1E9-448A-BFC8-BDE5FCED0AE6}">
  <sheetPr>
    <tabColor theme="7"/>
  </sheetPr>
  <dimension ref="B2:R21"/>
  <sheetViews>
    <sheetView tabSelected="1" workbookViewId="0">
      <selection activeCell="F18" sqref="F18:M21"/>
    </sheetView>
  </sheetViews>
  <sheetFormatPr defaultRowHeight="15" x14ac:dyDescent="0.25"/>
  <cols>
    <col min="2" max="2" width="15.140625" customWidth="1"/>
    <col min="3" max="3" width="11.5703125" bestFit="1" customWidth="1"/>
    <col min="4" max="4" width="11.85546875" customWidth="1"/>
    <col min="7" max="7" width="17.28515625" customWidth="1"/>
    <col min="8" max="8" width="11.85546875" customWidth="1"/>
    <col min="9" max="9" width="6.85546875" customWidth="1"/>
    <col min="12" max="12" width="20.140625" customWidth="1"/>
    <col min="13" max="13" width="12.7109375" bestFit="1" customWidth="1"/>
    <col min="14" max="14" width="9.140625" customWidth="1"/>
  </cols>
  <sheetData>
    <row r="2" spans="2:18" ht="18.75" x14ac:dyDescent="0.3">
      <c r="B2" s="77" t="s">
        <v>61</v>
      </c>
      <c r="C2" s="77"/>
      <c r="D2" s="77"/>
      <c r="F2" s="79" t="s">
        <v>76</v>
      </c>
      <c r="G2" s="79"/>
      <c r="H2" s="79"/>
      <c r="I2" s="79"/>
      <c r="L2" s="84" t="s">
        <v>86</v>
      </c>
      <c r="M2" s="84"/>
      <c r="N2" s="84"/>
      <c r="O2" s="84"/>
      <c r="P2" s="84"/>
      <c r="Q2" s="84"/>
      <c r="R2" s="84"/>
    </row>
    <row r="3" spans="2:18" ht="15.75" x14ac:dyDescent="0.25">
      <c r="B3" s="52" t="s">
        <v>54</v>
      </c>
      <c r="C3" s="52" t="s">
        <v>60</v>
      </c>
      <c r="D3" s="52" t="s">
        <v>37</v>
      </c>
      <c r="F3" s="53"/>
      <c r="G3" s="52" t="s">
        <v>54</v>
      </c>
      <c r="H3" s="52" t="s">
        <v>60</v>
      </c>
      <c r="I3" s="52" t="s">
        <v>37</v>
      </c>
      <c r="L3" s="23" t="s">
        <v>54</v>
      </c>
      <c r="M3" s="23" t="s">
        <v>89</v>
      </c>
      <c r="N3" s="85" t="s">
        <v>85</v>
      </c>
      <c r="O3" s="85"/>
      <c r="P3" s="85"/>
      <c r="Q3" s="85"/>
      <c r="R3" s="85"/>
    </row>
    <row r="4" spans="2:18" x14ac:dyDescent="0.25">
      <c r="B4" s="9" t="s">
        <v>55</v>
      </c>
      <c r="C4" s="12">
        <v>32.799999999999997</v>
      </c>
      <c r="D4" s="12" t="s">
        <v>72</v>
      </c>
      <c r="F4" s="78" t="s">
        <v>70</v>
      </c>
      <c r="G4" s="9" t="s">
        <v>65</v>
      </c>
      <c r="H4" s="12">
        <v>6</v>
      </c>
      <c r="I4" s="12"/>
      <c r="L4" s="3" t="s">
        <v>88</v>
      </c>
      <c r="M4" s="12">
        <f>C19*D19</f>
        <v>80</v>
      </c>
      <c r="N4" s="87" t="s">
        <v>94</v>
      </c>
      <c r="O4" s="87"/>
      <c r="P4" s="87"/>
      <c r="Q4" s="87"/>
      <c r="R4" s="87"/>
    </row>
    <row r="5" spans="2:18" x14ac:dyDescent="0.25">
      <c r="B5" s="9" t="s">
        <v>56</v>
      </c>
      <c r="C5" s="12">
        <v>39.299999999999997</v>
      </c>
      <c r="D5" s="12" t="s">
        <v>72</v>
      </c>
      <c r="F5" s="78"/>
      <c r="G5" s="9" t="s">
        <v>66</v>
      </c>
      <c r="H5" s="12">
        <f>C4*H4</f>
        <v>196.79999999999998</v>
      </c>
      <c r="I5" s="12" t="s">
        <v>72</v>
      </c>
      <c r="L5" s="3" t="s">
        <v>91</v>
      </c>
      <c r="M5" s="12">
        <f>(C15*D15)+(C16*D16)+(C17*D17)+(C18*D18)</f>
        <v>32.5</v>
      </c>
      <c r="N5" s="83" t="s">
        <v>95</v>
      </c>
      <c r="O5" s="83"/>
      <c r="P5" s="83"/>
      <c r="Q5" s="83"/>
      <c r="R5" s="83"/>
    </row>
    <row r="6" spans="2:18" x14ac:dyDescent="0.25">
      <c r="B6" s="9" t="s">
        <v>57</v>
      </c>
      <c r="C6" s="12">
        <v>13.7</v>
      </c>
      <c r="D6" s="12" t="s">
        <v>73</v>
      </c>
      <c r="F6" s="78"/>
      <c r="G6" s="9" t="s">
        <v>67</v>
      </c>
      <c r="H6" s="12">
        <f>C5*H4</f>
        <v>235.79999999999998</v>
      </c>
      <c r="I6" s="12" t="s">
        <v>72</v>
      </c>
      <c r="L6" s="3" t="s">
        <v>90</v>
      </c>
      <c r="M6" s="12">
        <f xml:space="preserve"> M4-M5</f>
        <v>47.5</v>
      </c>
      <c r="N6" s="87" t="s">
        <v>96</v>
      </c>
      <c r="O6" s="87"/>
      <c r="P6" s="87"/>
      <c r="Q6" s="87"/>
      <c r="R6" s="87"/>
    </row>
    <row r="7" spans="2:18" x14ac:dyDescent="0.25">
      <c r="B7" s="9" t="s">
        <v>58</v>
      </c>
      <c r="C7" s="12">
        <v>14.8</v>
      </c>
      <c r="D7" s="12" t="s">
        <v>73</v>
      </c>
      <c r="F7" s="78"/>
      <c r="G7" s="9" t="s">
        <v>68</v>
      </c>
      <c r="H7" s="12">
        <f>C6</f>
        <v>13.7</v>
      </c>
      <c r="I7" s="12" t="s">
        <v>73</v>
      </c>
      <c r="L7" s="3" t="s">
        <v>92</v>
      </c>
      <c r="M7" s="12">
        <f>C14*D14</f>
        <v>1.87</v>
      </c>
      <c r="N7" s="87" t="s">
        <v>97</v>
      </c>
      <c r="O7" s="87"/>
      <c r="P7" s="87"/>
      <c r="Q7" s="87"/>
      <c r="R7" s="87"/>
    </row>
    <row r="8" spans="2:18" x14ac:dyDescent="0.25">
      <c r="B8" s="9" t="s">
        <v>59</v>
      </c>
      <c r="C8" s="12">
        <v>450</v>
      </c>
      <c r="D8" s="12" t="s">
        <v>47</v>
      </c>
      <c r="F8" s="78"/>
      <c r="G8" s="9" t="s">
        <v>69</v>
      </c>
      <c r="H8" s="12">
        <f>C7</f>
        <v>14.8</v>
      </c>
      <c r="I8" s="12" t="s">
        <v>73</v>
      </c>
      <c r="L8" s="3" t="s">
        <v>93</v>
      </c>
      <c r="M8" s="15">
        <f>M7*C9</f>
        <v>22.44</v>
      </c>
      <c r="N8" s="83" t="s">
        <v>98</v>
      </c>
      <c r="O8" s="83"/>
      <c r="P8" s="83"/>
      <c r="Q8" s="83"/>
      <c r="R8" s="83"/>
    </row>
    <row r="9" spans="2:18" x14ac:dyDescent="0.25">
      <c r="B9" s="9" t="s">
        <v>42</v>
      </c>
      <c r="C9" s="12">
        <v>12</v>
      </c>
      <c r="D9" s="12"/>
      <c r="F9" s="78" t="s">
        <v>71</v>
      </c>
      <c r="G9" s="9" t="s">
        <v>65</v>
      </c>
      <c r="H9" s="12">
        <v>6</v>
      </c>
      <c r="I9" s="12"/>
      <c r="L9" s="3" t="s">
        <v>143</v>
      </c>
      <c r="M9" s="15">
        <f>M6-M8</f>
        <v>25.06</v>
      </c>
      <c r="N9" s="83" t="s">
        <v>145</v>
      </c>
      <c r="O9" s="83"/>
      <c r="P9" s="83"/>
      <c r="Q9" s="83"/>
      <c r="R9" s="83"/>
    </row>
    <row r="10" spans="2:18" x14ac:dyDescent="0.25">
      <c r="B10" s="55" t="s">
        <v>116</v>
      </c>
      <c r="C10" s="81" t="s">
        <v>141</v>
      </c>
      <c r="D10" s="82"/>
      <c r="F10" s="78"/>
      <c r="G10" s="9" t="s">
        <v>66</v>
      </c>
      <c r="H10" s="12">
        <f>C4*H9</f>
        <v>196.79999999999998</v>
      </c>
      <c r="I10" s="12" t="s">
        <v>72</v>
      </c>
    </row>
    <row r="11" spans="2:18" x14ac:dyDescent="0.25">
      <c r="F11" s="78"/>
      <c r="G11" s="9" t="s">
        <v>67</v>
      </c>
      <c r="H11" s="12">
        <f>C5*H9</f>
        <v>235.79999999999998</v>
      </c>
      <c r="I11" s="12" t="s">
        <v>72</v>
      </c>
    </row>
    <row r="12" spans="2:18" ht="18.75" customHeight="1" x14ac:dyDescent="0.25">
      <c r="B12" s="80" t="s">
        <v>84</v>
      </c>
      <c r="C12" s="80"/>
      <c r="D12" s="80"/>
      <c r="F12" s="78"/>
      <c r="G12" s="9" t="s">
        <v>68</v>
      </c>
      <c r="H12" s="12">
        <f>C6</f>
        <v>13.7</v>
      </c>
      <c r="I12" s="12" t="s">
        <v>73</v>
      </c>
      <c r="L12" s="86" t="s">
        <v>144</v>
      </c>
      <c r="M12" s="86"/>
      <c r="N12" s="86"/>
      <c r="O12" s="86"/>
      <c r="P12" s="86"/>
      <c r="Q12" s="86"/>
      <c r="R12" s="86"/>
    </row>
    <row r="13" spans="2:18" ht="18" customHeight="1" x14ac:dyDescent="0.25">
      <c r="B13" s="54" t="s">
        <v>77</v>
      </c>
      <c r="C13" s="54" t="s">
        <v>78</v>
      </c>
      <c r="D13" s="54" t="s">
        <v>79</v>
      </c>
      <c r="F13" s="78"/>
      <c r="G13" s="9" t="s">
        <v>69</v>
      </c>
      <c r="H13" s="12">
        <f>C7</f>
        <v>14.8</v>
      </c>
      <c r="I13" s="12" t="s">
        <v>73</v>
      </c>
      <c r="L13" s="86"/>
      <c r="M13" s="86"/>
      <c r="N13" s="86"/>
      <c r="O13" s="86"/>
      <c r="P13" s="86"/>
      <c r="Q13" s="86"/>
      <c r="R13" s="86"/>
    </row>
    <row r="14" spans="2:18" x14ac:dyDescent="0.25">
      <c r="B14" s="9" t="s">
        <v>80</v>
      </c>
      <c r="C14" s="12">
        <v>1.7</v>
      </c>
      <c r="D14" s="12">
        <v>1.1000000000000001</v>
      </c>
      <c r="L14" s="86"/>
      <c r="M14" s="86"/>
      <c r="N14" s="86"/>
      <c r="O14" s="86"/>
      <c r="P14" s="86"/>
      <c r="Q14" s="86"/>
      <c r="R14" s="86"/>
    </row>
    <row r="15" spans="2:18" x14ac:dyDescent="0.25">
      <c r="B15" s="9" t="s">
        <v>81</v>
      </c>
      <c r="C15" s="12">
        <v>3.5</v>
      </c>
      <c r="D15" s="12">
        <v>2</v>
      </c>
      <c r="F15" s="76" t="s">
        <v>117</v>
      </c>
      <c r="G15" s="76"/>
      <c r="H15" s="76"/>
      <c r="I15" s="76"/>
    </row>
    <row r="16" spans="2:18" x14ac:dyDescent="0.25">
      <c r="B16" s="9" t="s">
        <v>82</v>
      </c>
      <c r="C16" s="12">
        <v>4.5</v>
      </c>
      <c r="D16" s="12">
        <v>1</v>
      </c>
      <c r="F16" s="76"/>
      <c r="G16" s="76"/>
      <c r="H16" s="76"/>
      <c r="I16" s="76"/>
    </row>
    <row r="17" spans="2:13" x14ac:dyDescent="0.25">
      <c r="B17" s="9" t="s">
        <v>83</v>
      </c>
      <c r="C17" s="12">
        <v>5</v>
      </c>
      <c r="D17" s="12">
        <v>4</v>
      </c>
    </row>
    <row r="18" spans="2:13" ht="15" customHeight="1" x14ac:dyDescent="0.25">
      <c r="B18" s="9" t="s">
        <v>142</v>
      </c>
      <c r="C18" s="12">
        <v>1</v>
      </c>
      <c r="D18" s="12">
        <v>1</v>
      </c>
      <c r="F18" s="66" t="s">
        <v>140</v>
      </c>
      <c r="G18" s="66"/>
      <c r="H18" s="66"/>
      <c r="I18" s="66"/>
      <c r="J18" s="66"/>
      <c r="K18" s="66"/>
      <c r="L18" s="66"/>
      <c r="M18" s="66"/>
    </row>
    <row r="19" spans="2:13" x14ac:dyDescent="0.25">
      <c r="B19" s="55" t="s">
        <v>87</v>
      </c>
      <c r="C19" s="56">
        <v>10</v>
      </c>
      <c r="D19" s="56">
        <v>8</v>
      </c>
      <c r="F19" s="66"/>
      <c r="G19" s="66"/>
      <c r="H19" s="66"/>
      <c r="I19" s="66"/>
      <c r="J19" s="66"/>
      <c r="K19" s="66"/>
      <c r="L19" s="66"/>
      <c r="M19" s="66"/>
    </row>
    <row r="20" spans="2:13" x14ac:dyDescent="0.25">
      <c r="F20" s="66"/>
      <c r="G20" s="66"/>
      <c r="H20" s="66"/>
      <c r="I20" s="66"/>
      <c r="J20" s="66"/>
      <c r="K20" s="66"/>
      <c r="L20" s="66"/>
      <c r="M20" s="66"/>
    </row>
    <row r="21" spans="2:13" x14ac:dyDescent="0.25">
      <c r="F21" s="66"/>
      <c r="G21" s="66"/>
      <c r="H21" s="66"/>
      <c r="I21" s="66"/>
      <c r="J21" s="66"/>
      <c r="K21" s="66"/>
      <c r="L21" s="66"/>
      <c r="M21" s="66"/>
    </row>
  </sheetData>
  <mergeCells count="17">
    <mergeCell ref="N9:R9"/>
    <mergeCell ref="L2:R2"/>
    <mergeCell ref="N3:R3"/>
    <mergeCell ref="L12:R14"/>
    <mergeCell ref="N4:R4"/>
    <mergeCell ref="N5:R5"/>
    <mergeCell ref="N6:R6"/>
    <mergeCell ref="N7:R7"/>
    <mergeCell ref="N8:R8"/>
    <mergeCell ref="F15:I16"/>
    <mergeCell ref="F18:M21"/>
    <mergeCell ref="B2:D2"/>
    <mergeCell ref="F4:F8"/>
    <mergeCell ref="F9:F13"/>
    <mergeCell ref="F2:I2"/>
    <mergeCell ref="B12:D12"/>
    <mergeCell ref="C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AE06-5934-47CA-BE42-FFA3F9CC8EF2}">
  <sheetPr>
    <tabColor theme="2" tint="-0.499984740745262"/>
  </sheetPr>
  <dimension ref="B3:L15"/>
  <sheetViews>
    <sheetView workbookViewId="0">
      <selection activeCell="H20" sqref="H20"/>
    </sheetView>
  </sheetViews>
  <sheetFormatPr defaultRowHeight="15" x14ac:dyDescent="0.25"/>
  <cols>
    <col min="2" max="2" width="24" bestFit="1" customWidth="1"/>
    <col min="3" max="3" width="12.140625" customWidth="1"/>
    <col min="4" max="4" width="10.140625" customWidth="1"/>
    <col min="7" max="7" width="27.140625" customWidth="1"/>
    <col min="8" max="8" width="10.7109375" customWidth="1"/>
    <col min="10" max="10" width="10.7109375" customWidth="1"/>
    <col min="11" max="11" width="8.85546875" customWidth="1"/>
  </cols>
  <sheetData>
    <row r="3" spans="2:12" ht="18.75" x14ac:dyDescent="0.25">
      <c r="B3" s="88" t="s">
        <v>118</v>
      </c>
      <c r="C3" s="88"/>
      <c r="D3" s="88"/>
      <c r="G3" s="92" t="s">
        <v>138</v>
      </c>
      <c r="H3" s="92"/>
      <c r="I3" s="92"/>
      <c r="J3" s="92"/>
      <c r="K3" s="92"/>
      <c r="L3" s="92"/>
    </row>
    <row r="4" spans="2:12" ht="15.75" x14ac:dyDescent="0.25">
      <c r="B4" s="60" t="s">
        <v>54</v>
      </c>
      <c r="C4" s="60" t="s">
        <v>60</v>
      </c>
      <c r="D4" s="60" t="s">
        <v>37</v>
      </c>
      <c r="G4" s="61" t="s">
        <v>54</v>
      </c>
      <c r="H4" s="91" t="s">
        <v>139</v>
      </c>
      <c r="I4" s="91"/>
      <c r="J4" s="91" t="s">
        <v>134</v>
      </c>
      <c r="K4" s="91"/>
      <c r="L4" s="62" t="s">
        <v>131</v>
      </c>
    </row>
    <row r="5" spans="2:12" ht="15.75" x14ac:dyDescent="0.25">
      <c r="B5" s="3" t="s">
        <v>116</v>
      </c>
      <c r="C5" s="89" t="s">
        <v>127</v>
      </c>
      <c r="D5" s="90"/>
      <c r="G5" s="40"/>
      <c r="H5" s="49" t="s">
        <v>60</v>
      </c>
      <c r="I5" s="49" t="s">
        <v>37</v>
      </c>
      <c r="J5" s="49" t="s">
        <v>60</v>
      </c>
      <c r="K5" s="49" t="s">
        <v>37</v>
      </c>
      <c r="L5" s="34"/>
    </row>
    <row r="6" spans="2:12" x14ac:dyDescent="0.25">
      <c r="B6" s="3" t="s">
        <v>119</v>
      </c>
      <c r="C6" s="12">
        <v>2</v>
      </c>
      <c r="D6" s="9"/>
      <c r="G6" s="3" t="s">
        <v>119</v>
      </c>
      <c r="H6" s="12">
        <v>2</v>
      </c>
      <c r="I6" s="12" t="s">
        <v>132</v>
      </c>
      <c r="J6" s="12">
        <v>2</v>
      </c>
      <c r="K6" s="12" t="s">
        <v>132</v>
      </c>
      <c r="L6" s="12">
        <f>IF(J6&lt;=H6,1,0)</f>
        <v>1</v>
      </c>
    </row>
    <row r="7" spans="2:12" x14ac:dyDescent="0.25">
      <c r="B7" s="3" t="s">
        <v>120</v>
      </c>
      <c r="C7" s="12" t="s">
        <v>128</v>
      </c>
      <c r="D7" s="12" t="s">
        <v>72</v>
      </c>
      <c r="G7" s="3" t="s">
        <v>133</v>
      </c>
      <c r="H7" s="12">
        <v>550</v>
      </c>
      <c r="I7" s="12" t="s">
        <v>72</v>
      </c>
      <c r="J7" s="12">
        <v>197</v>
      </c>
      <c r="K7" s="12" t="s">
        <v>72</v>
      </c>
      <c r="L7" s="12">
        <f t="shared" ref="L7:L12" si="0">IF(J7&lt;=H7,1,0)</f>
        <v>1</v>
      </c>
    </row>
    <row r="8" spans="2:12" x14ac:dyDescent="0.25">
      <c r="B8" s="3" t="s">
        <v>137</v>
      </c>
      <c r="C8" s="12">
        <v>600</v>
      </c>
      <c r="D8" s="12" t="s">
        <v>72</v>
      </c>
      <c r="G8" s="3" t="s">
        <v>137</v>
      </c>
      <c r="H8" s="12">
        <v>600</v>
      </c>
      <c r="I8" s="12" t="s">
        <v>72</v>
      </c>
      <c r="J8" s="12">
        <v>235.8</v>
      </c>
      <c r="K8" s="12" t="s">
        <v>72</v>
      </c>
      <c r="L8" s="12">
        <f t="shared" si="0"/>
        <v>1</v>
      </c>
    </row>
    <row r="9" spans="2:12" x14ac:dyDescent="0.25">
      <c r="B9" s="3" t="s">
        <v>121</v>
      </c>
      <c r="C9" s="12">
        <v>20</v>
      </c>
      <c r="D9" s="12" t="s">
        <v>73</v>
      </c>
      <c r="G9" s="3" t="s">
        <v>121</v>
      </c>
      <c r="H9" s="12">
        <v>20</v>
      </c>
      <c r="I9" s="12" t="s">
        <v>73</v>
      </c>
      <c r="J9" s="12">
        <v>13.7</v>
      </c>
      <c r="K9" s="12" t="s">
        <v>73</v>
      </c>
      <c r="L9" s="12">
        <f t="shared" si="0"/>
        <v>1</v>
      </c>
    </row>
    <row r="10" spans="2:12" x14ac:dyDescent="0.25">
      <c r="B10" s="3" t="s">
        <v>122</v>
      </c>
      <c r="C10" s="12">
        <v>26</v>
      </c>
      <c r="D10" s="12" t="s">
        <v>73</v>
      </c>
      <c r="G10" s="3" t="s">
        <v>122</v>
      </c>
      <c r="H10" s="12">
        <v>26</v>
      </c>
      <c r="I10" s="12" t="s">
        <v>73</v>
      </c>
      <c r="J10" s="12">
        <v>14.8</v>
      </c>
      <c r="K10" s="12" t="s">
        <v>73</v>
      </c>
      <c r="L10" s="12">
        <f t="shared" si="0"/>
        <v>1</v>
      </c>
    </row>
    <row r="11" spans="2:12" x14ac:dyDescent="0.25">
      <c r="B11" s="3" t="s">
        <v>130</v>
      </c>
      <c r="C11" s="12">
        <v>10</v>
      </c>
      <c r="D11" s="12" t="s">
        <v>31</v>
      </c>
      <c r="G11" s="3" t="s">
        <v>135</v>
      </c>
      <c r="H11" s="12">
        <v>10</v>
      </c>
      <c r="I11" s="12" t="s">
        <v>31</v>
      </c>
      <c r="J11" s="12">
        <v>5.4</v>
      </c>
      <c r="K11" s="12" t="s">
        <v>31</v>
      </c>
      <c r="L11" s="12">
        <f t="shared" si="0"/>
        <v>1</v>
      </c>
    </row>
    <row r="12" spans="2:12" x14ac:dyDescent="0.25">
      <c r="B12" s="3" t="s">
        <v>123</v>
      </c>
      <c r="C12" s="12">
        <v>5</v>
      </c>
      <c r="D12" s="12" t="s">
        <v>31</v>
      </c>
      <c r="G12" s="3" t="s">
        <v>136</v>
      </c>
      <c r="H12" s="12">
        <v>60</v>
      </c>
      <c r="I12" s="12" t="s">
        <v>72</v>
      </c>
      <c r="J12" s="12">
        <v>48</v>
      </c>
      <c r="K12" s="12" t="s">
        <v>72</v>
      </c>
      <c r="L12" s="12">
        <f t="shared" si="0"/>
        <v>1</v>
      </c>
    </row>
    <row r="13" spans="2:12" x14ac:dyDescent="0.25">
      <c r="B13" s="3" t="s">
        <v>124</v>
      </c>
      <c r="C13" s="12">
        <v>48</v>
      </c>
      <c r="D13" s="12" t="s">
        <v>72</v>
      </c>
    </row>
    <row r="14" spans="2:12" x14ac:dyDescent="0.25">
      <c r="B14" s="3" t="s">
        <v>125</v>
      </c>
      <c r="C14" s="12" t="s">
        <v>129</v>
      </c>
      <c r="D14" s="12" t="s">
        <v>72</v>
      </c>
    </row>
    <row r="15" spans="2:12" x14ac:dyDescent="0.25">
      <c r="B15" s="3" t="s">
        <v>126</v>
      </c>
      <c r="C15" s="12">
        <v>120</v>
      </c>
      <c r="D15" s="12" t="s">
        <v>73</v>
      </c>
    </row>
  </sheetData>
  <mergeCells count="5">
    <mergeCell ref="B3:D3"/>
    <mergeCell ref="C5:D5"/>
    <mergeCell ref="H4:I4"/>
    <mergeCell ref="J4:K4"/>
    <mergeCell ref="G3:L3"/>
  </mergeCells>
  <conditionalFormatting sqref="L6:L12">
    <cfRule type="iconSet" priority="4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964-60FB-456B-BC93-F6E1AD24FD14}">
  <sheetPr>
    <tabColor theme="9"/>
  </sheetPr>
  <dimension ref="B3:L16"/>
  <sheetViews>
    <sheetView workbookViewId="0">
      <selection activeCell="J9" sqref="J9"/>
    </sheetView>
  </sheetViews>
  <sheetFormatPr defaultRowHeight="15" x14ac:dyDescent="0.25"/>
  <cols>
    <col min="2" max="2" width="18.42578125" bestFit="1" customWidth="1"/>
    <col min="8" max="8" width="14.28515625" customWidth="1"/>
    <col min="10" max="10" width="11.42578125" bestFit="1" customWidth="1"/>
    <col min="11" max="11" width="12.140625" customWidth="1"/>
  </cols>
  <sheetData>
    <row r="3" spans="2:12" ht="18.75" x14ac:dyDescent="0.3">
      <c r="B3" s="93" t="s">
        <v>99</v>
      </c>
      <c r="C3" s="93"/>
      <c r="D3" s="93"/>
      <c r="H3" s="94" t="s">
        <v>111</v>
      </c>
      <c r="I3" s="94"/>
      <c r="J3" s="94"/>
      <c r="K3" s="94"/>
    </row>
    <row r="4" spans="2:12" ht="31.5" customHeight="1" x14ac:dyDescent="0.25">
      <c r="B4" s="57" t="s">
        <v>54</v>
      </c>
      <c r="C4" s="57" t="s">
        <v>60</v>
      </c>
      <c r="D4" s="57" t="s">
        <v>37</v>
      </c>
      <c r="H4" s="57" t="s">
        <v>109</v>
      </c>
      <c r="I4" s="57" t="s">
        <v>1</v>
      </c>
      <c r="J4" s="57" t="s">
        <v>14</v>
      </c>
      <c r="K4" s="58" t="s">
        <v>110</v>
      </c>
    </row>
    <row r="5" spans="2:12" x14ac:dyDescent="0.25">
      <c r="B5" s="3" t="s">
        <v>100</v>
      </c>
      <c r="C5" s="12" t="s">
        <v>106</v>
      </c>
      <c r="D5" s="12"/>
      <c r="H5" s="9" t="s">
        <v>112</v>
      </c>
      <c r="I5" s="12">
        <v>8</v>
      </c>
      <c r="J5" s="12">
        <v>20</v>
      </c>
      <c r="K5" s="12">
        <f>I5*J5</f>
        <v>160</v>
      </c>
    </row>
    <row r="6" spans="2:12" x14ac:dyDescent="0.25">
      <c r="B6" s="3" t="s">
        <v>101</v>
      </c>
      <c r="C6" s="12">
        <v>48</v>
      </c>
      <c r="D6" s="12" t="s">
        <v>72</v>
      </c>
      <c r="H6" s="9" t="s">
        <v>5</v>
      </c>
      <c r="I6" s="12">
        <v>4</v>
      </c>
      <c r="J6" s="12">
        <v>80</v>
      </c>
      <c r="K6" s="12">
        <f t="shared" ref="K6:K9" si="0">I6*J6</f>
        <v>320</v>
      </c>
    </row>
    <row r="7" spans="2:12" x14ac:dyDescent="0.25">
      <c r="B7" s="3" t="s">
        <v>102</v>
      </c>
      <c r="C7" s="12">
        <v>100</v>
      </c>
      <c r="D7" s="12" t="s">
        <v>107</v>
      </c>
      <c r="H7" s="9" t="s">
        <v>6</v>
      </c>
      <c r="I7" s="12">
        <v>1</v>
      </c>
      <c r="J7" s="12">
        <v>400</v>
      </c>
      <c r="K7" s="12">
        <f t="shared" si="0"/>
        <v>400</v>
      </c>
    </row>
    <row r="8" spans="2:12" x14ac:dyDescent="0.25">
      <c r="B8" s="3" t="s">
        <v>103</v>
      </c>
      <c r="C8" s="12">
        <v>4.8</v>
      </c>
      <c r="D8" s="12" t="s">
        <v>17</v>
      </c>
      <c r="H8" s="9" t="s">
        <v>114</v>
      </c>
      <c r="I8" s="12">
        <v>1</v>
      </c>
      <c r="J8" s="12">
        <v>150</v>
      </c>
      <c r="K8" s="12">
        <f t="shared" si="0"/>
        <v>150</v>
      </c>
    </row>
    <row r="9" spans="2:12" x14ac:dyDescent="0.25">
      <c r="B9" s="3" t="s">
        <v>104</v>
      </c>
      <c r="C9" s="12">
        <v>80</v>
      </c>
      <c r="D9" s="12" t="s">
        <v>108</v>
      </c>
      <c r="H9" s="9" t="s">
        <v>113</v>
      </c>
      <c r="I9" s="12">
        <v>2</v>
      </c>
      <c r="J9" s="12">
        <v>100</v>
      </c>
      <c r="K9" s="12">
        <f t="shared" si="0"/>
        <v>200</v>
      </c>
    </row>
    <row r="10" spans="2:12" ht="15.75" x14ac:dyDescent="0.25">
      <c r="B10" s="3" t="s">
        <v>105</v>
      </c>
      <c r="C10" s="12">
        <f>(C8*C9)/100</f>
        <v>3.84</v>
      </c>
      <c r="D10" s="12" t="s">
        <v>17</v>
      </c>
      <c r="J10" s="6" t="s">
        <v>16</v>
      </c>
      <c r="K10" s="59">
        <f>SUM(K5:K9)</f>
        <v>1230</v>
      </c>
      <c r="L10" s="2" t="s">
        <v>47</v>
      </c>
    </row>
    <row r="12" spans="2:12" ht="15" customHeight="1" x14ac:dyDescent="0.25">
      <c r="H12" s="66" t="s">
        <v>115</v>
      </c>
      <c r="I12" s="66"/>
      <c r="J12" s="66"/>
      <c r="K12" s="66"/>
    </row>
    <row r="13" spans="2:12" x14ac:dyDescent="0.25">
      <c r="H13" s="66"/>
      <c r="I13" s="66"/>
      <c r="J13" s="66"/>
      <c r="K13" s="66"/>
    </row>
    <row r="14" spans="2:12" x14ac:dyDescent="0.25">
      <c r="H14" s="66"/>
      <c r="I14" s="66"/>
      <c r="J14" s="66"/>
      <c r="K14" s="66"/>
    </row>
    <row r="15" spans="2:12" x14ac:dyDescent="0.25">
      <c r="H15" s="66"/>
      <c r="I15" s="66"/>
      <c r="J15" s="66"/>
      <c r="K15" s="66"/>
    </row>
    <row r="16" spans="2:12" x14ac:dyDescent="0.25">
      <c r="H16" s="66"/>
      <c r="I16" s="66"/>
      <c r="J16" s="66"/>
      <c r="K16" s="66"/>
    </row>
  </sheetData>
  <mergeCells count="3">
    <mergeCell ref="B3:D3"/>
    <mergeCell ref="H3:K3"/>
    <mergeCell ref="H12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Load Assessment</vt:lpstr>
      <vt:lpstr>PV Sizing</vt:lpstr>
      <vt:lpstr>Module &amp; String Design</vt:lpstr>
      <vt:lpstr>Inverter Data</vt:lpstr>
      <vt:lpstr>Battery 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2026-09-08T15:26:57Z</dcterms:created>
  <dcterms:modified xsi:type="dcterms:W3CDTF">2026-09-11T09:38:04Z</dcterms:modified>
</cp:coreProperties>
</file>